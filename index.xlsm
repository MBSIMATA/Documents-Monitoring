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lmaVenusEstrada\Desktop\"/>
    </mc:Choice>
  </mc:AlternateContent>
  <xr:revisionPtr revIDLastSave="0" documentId="13_ncr:1_{A09F67CC-261C-4909-A03B-6A4FF28CF525}" xr6:coauthVersionLast="47" xr6:coauthVersionMax="47" xr10:uidLastSave="{00000000-0000-0000-0000-000000000000}"/>
  <bookViews>
    <workbookView xWindow="-120" yWindow="-120" windowWidth="38640" windowHeight="21120" xr2:uid="{18A93CE1-4856-45EE-863D-1482E10A116F}"/>
  </bookViews>
  <sheets>
    <sheet name="GF_RS" sheetId="10" r:id="rId1"/>
    <sheet name="CIAC_RS" sheetId="13" r:id="rId2"/>
    <sheet name="PCAB_RS" sheetId="14" r:id="rId3"/>
    <sheet name="CMDF Tr_RS" sheetId="16" r:id="rId4"/>
    <sheet name="CMDF Rev_RS" sheetId="17" r:id="rId5"/>
    <sheet name="Routing Slip" sheetId="3" r:id="rId6"/>
    <sheet name="List Options" sheetId="12" state="hidden" r:id="rId7"/>
  </sheets>
  <definedNames>
    <definedName name="Accounting">'List Options'!$C$22:$C$26</definedName>
    <definedName name="Actions">'List Options'!$E$2:$E$10</definedName>
    <definedName name="Budget">'List Options'!$D$22:$D$23</definedName>
    <definedName name="Cashier">'List Options'!$A$22:$A$23</definedName>
    <definedName name="CIAC">'List Options'!$E$22:$E$23</definedName>
    <definedName name="CMDF">'List Options'!$J$22:$J$23</definedName>
    <definedName name="Division">'List Options'!$A$2:$A$11</definedName>
    <definedName name="DocType">'List Options'!$B$2:$B$6</definedName>
    <definedName name="FundSource">'List Options'!$H$2:$H$6</definedName>
    <definedName name="GSD">'List Options'!$B$22:$B$25</definedName>
    <definedName name="PaymentStatus">'List Options'!$K$2:$K$6</definedName>
    <definedName name="PCAB">'List Options'!$F$22</definedName>
    <definedName name="PDCB">'List Options'!$I$22</definedName>
    <definedName name="POCB">'List Options'!$H$22</definedName>
    <definedName name="PPCMD">'List Options'!$G$22</definedName>
    <definedName name="Print">'List Options'!$L$2:$L$3</definedName>
    <definedName name="_xlnm.Print_Area" localSheetId="1">CIAC_RS!$B$2:$W$10</definedName>
    <definedName name="_xlnm.Print_Area" localSheetId="4">'CMDF Rev_RS'!$B$2:$W$10</definedName>
    <definedName name="_xlnm.Print_Area" localSheetId="3">'CMDF Tr_RS'!$B$2:$W$10</definedName>
    <definedName name="_xlnm.Print_Area" localSheetId="0">GF_RS!$B$2:$Y$10</definedName>
    <definedName name="_xlnm.Print_Area" localSheetId="2">PCAB_RS!$B$2:$W$10</definedName>
    <definedName name="_xlnm.Print_Area" localSheetId="5">'Routing Slip'!$A$3:$F$27</definedName>
    <definedName name="Receiver">'List Options'!#REF!</definedName>
    <definedName name="Remarks">'List Options'!$F$2:$F$2</definedName>
    <definedName name="Status">'List Options'!$F$2:$F$5</definedName>
    <definedName name="Status_Initial">'List Options'!$I$2:$I$4</definedName>
    <definedName name="StatusFinal">'List Options'!$J$2:$J$6</definedName>
    <definedName name="StatusInitial">'List Options'!$I$2:$I$4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7" l="1"/>
  <c r="B7" i="17"/>
  <c r="B8" i="17"/>
  <c r="B9" i="17"/>
  <c r="B10" i="17"/>
  <c r="U10" i="17"/>
  <c r="U9" i="17"/>
  <c r="U8" i="17"/>
  <c r="U7" i="17"/>
  <c r="U6" i="17"/>
  <c r="B6" i="16"/>
  <c r="B7" i="16"/>
  <c r="B8" i="16"/>
  <c r="B9" i="16"/>
  <c r="B10" i="16"/>
  <c r="B6" i="14"/>
  <c r="B7" i="14"/>
  <c r="B8" i="14"/>
  <c r="B9" i="14"/>
  <c r="B10" i="14"/>
  <c r="U10" i="16"/>
  <c r="U9" i="16"/>
  <c r="U8" i="16"/>
  <c r="U7" i="16"/>
  <c r="U6" i="16"/>
  <c r="U10" i="14"/>
  <c r="U9" i="14"/>
  <c r="U8" i="14"/>
  <c r="U7" i="14"/>
  <c r="U6" i="14"/>
  <c r="B6" i="13"/>
  <c r="B7" i="13"/>
  <c r="B8" i="13"/>
  <c r="B9" i="13"/>
  <c r="B10" i="13"/>
  <c r="U10" i="13"/>
  <c r="U9" i="13"/>
  <c r="U8" i="13"/>
  <c r="U7" i="13"/>
  <c r="U6" i="13"/>
  <c r="U6" i="10"/>
  <c r="U7" i="10"/>
  <c r="U8" i="10"/>
  <c r="U9" i="10"/>
  <c r="U10" i="10"/>
  <c r="B6" i="10"/>
  <c r="B7" i="10"/>
  <c r="B8" i="10"/>
  <c r="B9" i="10"/>
  <c r="B10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Marlon Simata</author>
    <author>Alma Venus Estrada</author>
  </authors>
  <commentList>
    <comment ref="B4" authorId="0" shapeId="0" xr:uid="{06378F79-F96A-4EC1-B514-FCB44E325242}">
      <text>
        <r>
          <rPr>
            <b/>
            <sz val="9"/>
            <color indexed="81"/>
            <rFont val="Tahoma"/>
            <family val="2"/>
          </rPr>
          <t>Marlon Simata:</t>
        </r>
        <r>
          <rPr>
            <sz val="9"/>
            <color indexed="81"/>
            <rFont val="Tahoma"/>
            <family val="2"/>
          </rPr>
          <t xml:space="preserve">
RS No. is auto-generated
</t>
        </r>
      </text>
    </comment>
    <comment ref="G4" authorId="1" shapeId="0" xr:uid="{9958EBC7-CAC2-41A4-8530-2BB8BB50FBCB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short description only</t>
        </r>
      </text>
    </comment>
    <comment ref="L4" authorId="1" shapeId="0" xr:uid="{AE35AC7B-E77A-416C-9819-2A42C73C1F4D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  <comment ref="R4" authorId="1" shapeId="0" xr:uid="{6B69C7E8-61AF-4F4E-973D-3449854371BA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Marlon Simata</author>
    <author>Alma Venus Estrada</author>
  </authors>
  <commentList>
    <comment ref="B4" authorId="0" shapeId="0" xr:uid="{7DE11417-B6DA-4557-8C44-79666DDC6C19}">
      <text>
        <r>
          <rPr>
            <b/>
            <sz val="9"/>
            <color indexed="81"/>
            <rFont val="Tahoma"/>
            <family val="2"/>
          </rPr>
          <t>Marlon Simata:</t>
        </r>
        <r>
          <rPr>
            <sz val="9"/>
            <color indexed="81"/>
            <rFont val="Tahoma"/>
            <family val="2"/>
          </rPr>
          <t xml:space="preserve">
RS No. is auto-generated
</t>
        </r>
      </text>
    </comment>
    <comment ref="G4" authorId="1" shapeId="0" xr:uid="{D37EA66C-F5F8-4745-BEB9-592141768D95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short description only</t>
        </r>
      </text>
    </comment>
    <comment ref="L4" authorId="1" shapeId="0" xr:uid="{D75F9CA1-CC02-4FDB-9DF5-7F6811133266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  <comment ref="R4" authorId="1" shapeId="0" xr:uid="{C824EA21-344B-46A1-ADD2-BE9D65D39738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Marlon Simata</author>
    <author>Alma Venus Estrada</author>
  </authors>
  <commentList>
    <comment ref="B4" authorId="0" shapeId="0" xr:uid="{DF6CF5E5-6E1D-4984-A7BF-C15097110C56}">
      <text>
        <r>
          <rPr>
            <b/>
            <sz val="9"/>
            <color indexed="81"/>
            <rFont val="Tahoma"/>
            <family val="2"/>
          </rPr>
          <t>Marlon Simata:</t>
        </r>
        <r>
          <rPr>
            <sz val="9"/>
            <color indexed="81"/>
            <rFont val="Tahoma"/>
            <family val="2"/>
          </rPr>
          <t xml:space="preserve">
RS No. is auto-generated
</t>
        </r>
      </text>
    </comment>
    <comment ref="G4" authorId="1" shapeId="0" xr:uid="{E149DF2F-46D4-4549-B1F7-6E62B27D0C27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short description only</t>
        </r>
      </text>
    </comment>
    <comment ref="L4" authorId="1" shapeId="0" xr:uid="{9C7EFD4F-2DA8-42ED-9A6F-D37DC1A783F0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  <comment ref="R4" authorId="1" shapeId="0" xr:uid="{6035CC95-65E1-4B66-995A-AD428512AF2D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Marlon Simata</author>
    <author>Alma Venus Estrada</author>
  </authors>
  <commentList>
    <comment ref="B4" authorId="0" shapeId="0" xr:uid="{F86C5C65-DDC7-4136-851E-ED130D2DF408}">
      <text>
        <r>
          <rPr>
            <b/>
            <sz val="9"/>
            <color indexed="81"/>
            <rFont val="Tahoma"/>
            <family val="2"/>
          </rPr>
          <t>Marlon Simata:</t>
        </r>
        <r>
          <rPr>
            <sz val="9"/>
            <color indexed="81"/>
            <rFont val="Tahoma"/>
            <family val="2"/>
          </rPr>
          <t xml:space="preserve">
RS No. is auto-generated
</t>
        </r>
      </text>
    </comment>
    <comment ref="G4" authorId="1" shapeId="0" xr:uid="{B33AD456-C201-4F0D-B5C3-321FE45CB292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short description only</t>
        </r>
      </text>
    </comment>
    <comment ref="L4" authorId="1" shapeId="0" xr:uid="{FD8BACAB-C165-4C97-B018-16371319D58D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  <comment ref="R4" authorId="1" shapeId="0" xr:uid="{F146F487-BEF8-49F9-83F0-09ABC67A8631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Marlon Simata</author>
    <author>Alma Venus Estrada</author>
  </authors>
  <commentList>
    <comment ref="B4" authorId="0" shapeId="0" xr:uid="{AFB2A4CA-79EB-4DC7-9923-7971336D1051}">
      <text>
        <r>
          <rPr>
            <b/>
            <sz val="9"/>
            <color indexed="81"/>
            <rFont val="Tahoma"/>
            <family val="2"/>
          </rPr>
          <t>Marlon Simata:</t>
        </r>
        <r>
          <rPr>
            <sz val="9"/>
            <color indexed="81"/>
            <rFont val="Tahoma"/>
            <family val="2"/>
          </rPr>
          <t xml:space="preserve">
RS No. is auto-generated
</t>
        </r>
      </text>
    </comment>
    <comment ref="G4" authorId="1" shapeId="0" xr:uid="{5767D49F-C046-433B-AA82-0FE34DA2702B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short description only</t>
        </r>
      </text>
    </comment>
    <comment ref="L4" authorId="1" shapeId="0" xr:uid="{1AC2B65D-11EC-49E9-96DB-36971DD42A2C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  <comment ref="R4" authorId="1" shapeId="0" xr:uid="{4CF31EEF-5A6E-465D-8D60-308E3398F735}">
      <text>
        <r>
          <rPr>
            <b/>
            <sz val="9"/>
            <color indexed="81"/>
            <rFont val="Tahoma"/>
            <family val="2"/>
          </rPr>
          <t>Alma Venus Estrada:</t>
        </r>
        <r>
          <rPr>
            <sz val="9"/>
            <color indexed="81"/>
            <rFont val="Tahoma"/>
            <family val="2"/>
          </rPr>
          <t xml:space="preserve">
Date all pending docs complied and returned to accounting for rechecking</t>
        </r>
      </text>
    </comment>
  </commentList>
</comments>
</file>

<file path=xl/sharedStrings.xml><?xml version="1.0" encoding="utf-8"?>
<sst xmlns="http://schemas.openxmlformats.org/spreadsheetml/2006/main" count="500" uniqueCount="133">
  <si>
    <t>CONSTRUCTION INDUSTRY AUTHORITY OF THE PHILIPPINES</t>
  </si>
  <si>
    <t>For appropriate action</t>
  </si>
  <si>
    <t>Remarks</t>
  </si>
  <si>
    <t>Date</t>
  </si>
  <si>
    <t>Action Requested</t>
  </si>
  <si>
    <t>Draft Reply</t>
  </si>
  <si>
    <t>For compliance</t>
  </si>
  <si>
    <t>For comment/recommendation</t>
  </si>
  <si>
    <t>For information/reference</t>
  </si>
  <si>
    <t>For dissemination</t>
  </si>
  <si>
    <t>For filing</t>
  </si>
  <si>
    <t>For review/initial and return</t>
  </si>
  <si>
    <t>REMARKS:</t>
  </si>
  <si>
    <t>For discussion with CIAP-OED</t>
  </si>
  <si>
    <t>RS No.</t>
  </si>
  <si>
    <t>DocType</t>
  </si>
  <si>
    <t>CASHIER</t>
  </si>
  <si>
    <t>ACCOUNTING</t>
  </si>
  <si>
    <t>Actions</t>
  </si>
  <si>
    <t>On-hold</t>
  </si>
  <si>
    <t>CIAC</t>
  </si>
  <si>
    <t>PCAB</t>
  </si>
  <si>
    <t>PPCMD</t>
  </si>
  <si>
    <t>POCB</t>
  </si>
  <si>
    <t>PDCB</t>
  </si>
  <si>
    <t>CMDF</t>
  </si>
  <si>
    <t>BUDGET</t>
  </si>
  <si>
    <t>Juan Miguel A. Aralar</t>
  </si>
  <si>
    <t>Manilyn C. Nañoz</t>
  </si>
  <si>
    <t>Mischell A. Fernandez</t>
  </si>
  <si>
    <t>John Vincent B. Peduche</t>
  </si>
  <si>
    <t>Edlyn R. Viggayan</t>
  </si>
  <si>
    <t>Rea Q. Munoz</t>
  </si>
  <si>
    <t>Arlene F. Perido</t>
  </si>
  <si>
    <t>Caren Sumaya</t>
  </si>
  <si>
    <t>Dana Lorraine C. Faurillo</t>
  </si>
  <si>
    <t>Division</t>
  </si>
  <si>
    <t>Column1</t>
  </si>
  <si>
    <t>Search RS No.</t>
  </si>
  <si>
    <t>Received By</t>
  </si>
  <si>
    <t>Released to</t>
  </si>
  <si>
    <t>Fara Joice G. Hornedo</t>
  </si>
  <si>
    <t>Shirley A. Naungayan</t>
  </si>
  <si>
    <t>Winnie Joy G. Manangan</t>
  </si>
  <si>
    <t>GENERAL SERVICES</t>
  </si>
  <si>
    <t>Karissa Marie V. Castillo</t>
  </si>
  <si>
    <t>GSD</t>
  </si>
  <si>
    <t>Disbursement Voucher (DV)</t>
  </si>
  <si>
    <t>Job Order</t>
  </si>
  <si>
    <t>Purchase Order</t>
  </si>
  <si>
    <t>Contract of Agreement</t>
  </si>
  <si>
    <t>Purchase Request</t>
  </si>
  <si>
    <t>Status</t>
  </si>
  <si>
    <t>DV No.</t>
  </si>
  <si>
    <t>AFMD-Accounting 
ROUTING SLIP MONITORING for DISBURSEMENT VOUCHER</t>
  </si>
  <si>
    <t>For releasing</t>
  </si>
  <si>
    <t>Released</t>
  </si>
  <si>
    <t>For indexing</t>
  </si>
  <si>
    <t>Date
Received</t>
  </si>
  <si>
    <t>Date
Released</t>
  </si>
  <si>
    <t>Payee</t>
  </si>
  <si>
    <t>Fund Source</t>
  </si>
  <si>
    <t>ORS No.</t>
  </si>
  <si>
    <t>Gross Amount</t>
  </si>
  <si>
    <t>Particulars</t>
  </si>
  <si>
    <t>RS Date (Date Received)</t>
  </si>
  <si>
    <t>Received by</t>
  </si>
  <si>
    <t>For initial checking/DV preparation</t>
  </si>
  <si>
    <t>With pending documents for compliance</t>
  </si>
  <si>
    <t>For review of Accountant</t>
  </si>
  <si>
    <t>Returned To</t>
  </si>
  <si>
    <t>Date Returned</t>
  </si>
  <si>
    <t>Returned To (if with pending)</t>
  </si>
  <si>
    <t>Compliance Date</t>
  </si>
  <si>
    <t>Date Returned (if with pending)</t>
  </si>
  <si>
    <t>DV Date</t>
  </si>
  <si>
    <t>Status_Initial</t>
  </si>
  <si>
    <t>Status_Final</t>
  </si>
  <si>
    <t>Released/For Release of DV</t>
  </si>
  <si>
    <t>For Certifying Officer (Box A)</t>
  </si>
  <si>
    <t>For Approving Officer (Box D)</t>
  </si>
  <si>
    <t>Payment Status</t>
  </si>
  <si>
    <t>For pick-up of Check/for OR</t>
  </si>
  <si>
    <t>For OR</t>
  </si>
  <si>
    <t>ADA Payment Processed</t>
  </si>
  <si>
    <t>Check Payment Released</t>
  </si>
  <si>
    <t>ORS No. (for GF)</t>
  </si>
  <si>
    <t>General Fund</t>
  </si>
  <si>
    <t>CIAC Trust Fund</t>
  </si>
  <si>
    <t>PCAB Retained Income</t>
  </si>
  <si>
    <t>CMDF Trust Fund</t>
  </si>
  <si>
    <t>CMDF Revolving Fund</t>
  </si>
  <si>
    <t>Date Returned (if with pending)2</t>
  </si>
  <si>
    <t>Returned To (if with pending)3</t>
  </si>
  <si>
    <t>Compliance Date4</t>
  </si>
  <si>
    <t>Received By5</t>
  </si>
  <si>
    <t>Date
Received6</t>
  </si>
  <si>
    <t>Received by7</t>
  </si>
  <si>
    <t>Date
Received8</t>
  </si>
  <si>
    <t>Received by9</t>
  </si>
  <si>
    <t>Date
Received10</t>
  </si>
  <si>
    <t>Received by11</t>
  </si>
  <si>
    <t>Status12</t>
  </si>
  <si>
    <t>Date Complied</t>
  </si>
  <si>
    <t>For correction of DV</t>
  </si>
  <si>
    <t>For correction of ORS</t>
  </si>
  <si>
    <t>Ezra</t>
  </si>
  <si>
    <t>Venus</t>
  </si>
  <si>
    <t>Fely</t>
  </si>
  <si>
    <t>Corrine</t>
  </si>
  <si>
    <t>Marlon</t>
  </si>
  <si>
    <t>Homer Bagadiong</t>
  </si>
  <si>
    <t>No. of Days Processed</t>
  </si>
  <si>
    <t>ROUTING SLIP</t>
  </si>
  <si>
    <t>Alpha</t>
  </si>
  <si>
    <t>Charlie</t>
  </si>
  <si>
    <t>Print</t>
  </si>
  <si>
    <t>P</t>
  </si>
  <si>
    <t>CMDF Tr-IN082024-0003</t>
  </si>
  <si>
    <t>PAYEE</t>
  </si>
  <si>
    <t>PARTICULARS</t>
  </si>
  <si>
    <t>GROSS AMOUNT</t>
  </si>
  <si>
    <t>RS NO.</t>
  </si>
  <si>
    <t>RS DATE</t>
  </si>
  <si>
    <t>DV NO.</t>
  </si>
  <si>
    <t>ORS NO.</t>
  </si>
  <si>
    <t>ACCOUNTING SECTION</t>
  </si>
  <si>
    <t>Received By (Name)</t>
  </si>
  <si>
    <t>GF-IN082024-0001</t>
  </si>
  <si>
    <t>Column2</t>
  </si>
  <si>
    <t>Column12</t>
  </si>
  <si>
    <t>Gladys Vega</t>
  </si>
  <si>
    <t>Neolen Cazeñas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</si>
</sst>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₱&quot;#,##0.00;\-&quot;₱&quot;#,##0.00"/>
    <numFmt numFmtId="43" formatCode="_-* #,##0.00_-;\-* #,##0.00_-;_-* &quot;-&quot;??_-;_-@_-"/>
    <numFmt numFmtId="164" formatCode="[$-3409]dd\-mmm\-yy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Bahnschrift SemiBold Condensed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Times New Roman"/>
      <family val="1"/>
    </font>
    <font>
      <b/>
      <sz val="10"/>
      <color theme="0"/>
      <name val="Calibri"/>
      <family val="2"/>
      <scheme val="minor"/>
    </font>
    <font>
      <b/>
      <sz val="26"/>
      <color theme="8" tint="-0.249977111117893"/>
      <name val="Bahnschrift SemiBold Condensed"/>
      <family val="2"/>
    </font>
    <font>
      <b/>
      <sz val="11"/>
      <color theme="1"/>
      <name val="Times New Roman"/>
      <family val="1"/>
    </font>
    <font>
      <b/>
      <sz val="11"/>
      <color theme="8" tint="-0.249977111117893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8"/>
      <name val="Times New Roman"/>
      <family val="1"/>
    </font>
    <font>
      <sz val="11"/>
      <color theme="1"/>
      <name val="Arial Narrow"/>
      <family val="2"/>
    </font>
    <font>
      <b/>
      <sz val="11"/>
      <color rgb="FFC00000"/>
      <name val="Times New Roman"/>
      <family val="1"/>
    </font>
    <font>
      <b/>
      <sz val="10"/>
      <color theme="1"/>
      <name val="Arial"/>
      <family val="2"/>
    </font>
    <font>
      <b/>
      <sz val="1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theme="2" tint="-0.499984740745262"/>
      </bottom>
      <diagonal/>
    </border>
    <border>
      <left/>
      <right/>
      <top/>
      <bottom style="thin">
        <color theme="0"/>
      </bottom>
      <diagonal/>
    </border>
    <border>
      <left style="hair">
        <color theme="0"/>
      </left>
      <right style="hair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theme="2" tint="-0.499984740745262"/>
      </left>
      <right style="hair">
        <color theme="2" tint="-0.499984740745262"/>
      </right>
      <top style="thin">
        <color theme="0"/>
      </top>
      <bottom style="hair">
        <color theme="2" tint="-0.499984740745262"/>
      </bottom>
      <diagonal/>
    </border>
    <border>
      <left style="hair">
        <color theme="2" tint="-0.499984740745262"/>
      </left>
      <right style="hair">
        <color theme="2" tint="-0.499984740745262"/>
      </right>
      <top style="hair">
        <color theme="2" tint="-0.499984740745262"/>
      </top>
      <bottom style="hair">
        <color theme="2" tint="-0.499984740745262"/>
      </bottom>
      <diagonal/>
    </border>
    <border>
      <left style="hair">
        <color theme="2" tint="-0.499984740745262"/>
      </left>
      <right style="hair">
        <color theme="2" tint="-0.499984740745262"/>
      </right>
      <top/>
      <bottom/>
      <diagonal/>
    </border>
    <border>
      <left/>
      <right/>
      <top style="hair">
        <color theme="2" tint="-0.499984740745262"/>
      </top>
      <bottom/>
      <diagonal/>
    </border>
    <border>
      <left style="hair">
        <color theme="2" tint="-0.499984740745262"/>
      </left>
      <right/>
      <top style="hair">
        <color theme="2" tint="-0.499984740745262"/>
      </top>
      <bottom/>
      <diagonal/>
    </border>
    <border>
      <left/>
      <right style="hair">
        <color theme="2" tint="-0.499984740745262"/>
      </right>
      <top style="hair">
        <color theme="2" tint="-0.499984740745262"/>
      </top>
      <bottom/>
      <diagonal/>
    </border>
    <border>
      <left/>
      <right style="hair">
        <color theme="2" tint="-0.499984740745262"/>
      </right>
      <top/>
      <bottom style="hair">
        <color indexed="64"/>
      </bottom>
      <diagonal/>
    </border>
    <border>
      <left style="hair">
        <color theme="2" tint="-0.499984740745262"/>
      </left>
      <right/>
      <top/>
      <bottom style="hair">
        <color indexed="64"/>
      </bottom>
      <diagonal/>
    </border>
    <border>
      <left style="hair">
        <color theme="2" tint="-0.499984740745262"/>
      </left>
      <right style="hair">
        <color indexed="64"/>
      </right>
      <top style="hair">
        <color theme="2" tint="-0.499984740745262"/>
      </top>
      <bottom style="thin">
        <color theme="0"/>
      </bottom>
      <diagonal/>
    </border>
    <border>
      <left style="hair">
        <color theme="2" tint="-0.499984740745262"/>
      </left>
      <right style="hair">
        <color indexed="64"/>
      </right>
      <top style="hair">
        <color theme="2" tint="-0.499984740745262"/>
      </top>
      <bottom style="hair">
        <color theme="2" tint="-0.499984740745262"/>
      </bottom>
      <diagonal/>
    </border>
    <border>
      <left style="hair">
        <color theme="2" tint="-0.499984740745262"/>
      </left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theme="2" tint="-0.499984740745262"/>
      </top>
      <bottom/>
      <diagonal/>
    </border>
    <border>
      <left/>
      <right style="thin">
        <color indexed="64"/>
      </right>
      <top style="hair">
        <color theme="2" tint="-0.499984740745262"/>
      </top>
      <bottom style="hair">
        <color theme="2" tint="-0.499984740745262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hair">
        <color theme="2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theme="2" tint="-0.499984740745262"/>
      </right>
      <top style="hair">
        <color theme="2" tint="-0.499984740745262"/>
      </top>
      <bottom style="hair">
        <color theme="2" tint="-0.499984740745262"/>
      </bottom>
      <diagonal/>
    </border>
    <border>
      <left style="thin">
        <color indexed="64"/>
      </left>
      <right style="hair">
        <color theme="2" tint="-0.499984740745262"/>
      </right>
      <top style="hair">
        <color theme="2" tint="-0.499984740745262"/>
      </top>
      <bottom/>
      <diagonal/>
    </border>
    <border>
      <left style="thin">
        <color indexed="64"/>
      </left>
      <right style="hair">
        <color theme="2" tint="-0.499984740745262"/>
      </right>
      <top/>
      <bottom style="hair">
        <color indexed="64"/>
      </bottom>
      <diagonal/>
    </border>
    <border>
      <left style="thin">
        <color indexed="64"/>
      </left>
      <right style="hair">
        <color theme="2" tint="-0.499984740745262"/>
      </right>
      <top/>
      <bottom/>
      <diagonal/>
    </border>
    <border>
      <left style="thin">
        <color indexed="64"/>
      </left>
      <right style="hair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hair">
        <color theme="2" tint="-0.499984740745262"/>
      </right>
      <top style="thin">
        <color theme="0"/>
      </top>
      <bottom style="hair">
        <color theme="2" tint="-0.499984740745262"/>
      </bottom>
      <diagonal/>
    </border>
    <border>
      <left style="thin">
        <color indexed="64"/>
      </left>
      <right style="hair">
        <color theme="2" tint="-0.499984740745262"/>
      </right>
      <top/>
      <bottom style="hair">
        <color theme="2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theme="2" tint="-0.499984740745262"/>
      </right>
      <top/>
      <bottom style="hair">
        <color theme="2" tint="-0.499984740745262"/>
      </bottom>
      <diagonal/>
    </border>
    <border>
      <left style="hair">
        <color theme="2" tint="-0.499984740745262"/>
      </left>
      <right style="hair">
        <color indexed="64"/>
      </right>
      <top/>
      <bottom style="hair">
        <color theme="2" tint="-0.499984740745262"/>
      </bottom>
      <diagonal/>
    </border>
    <border>
      <left style="hair">
        <color theme="2" tint="-0.499984740745262"/>
      </left>
      <right/>
      <top/>
      <bottom style="hair">
        <color theme="2" tint="-0.499984740745262"/>
      </bottom>
      <diagonal/>
    </border>
    <border>
      <left style="hair">
        <color indexed="64"/>
      </left>
      <right style="thin">
        <color indexed="64"/>
      </right>
      <top/>
      <bottom style="hair">
        <color theme="2" tint="-0.499984740745262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43" fontId="17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0" applyFont="1"/>
    <xf numFmtId="0" fontId="5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12" fillId="0" borderId="0" xfId="0" applyFont="1" applyAlignment="1">
      <alignment horizontal="left" vertical="top"/>
    </xf>
    <xf numFmtId="0" fontId="12" fillId="0" borderId="0" xfId="0" applyFont="1" applyAlignment="1" applyProtection="1">
      <alignment horizontal="center" vertical="top"/>
      <protection locked="0"/>
    </xf>
    <xf numFmtId="0" fontId="12" fillId="0" borderId="0" xfId="0" applyFont="1" applyAlignment="1" applyProtection="1">
      <alignment vertical="top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0" fontId="15" fillId="4" borderId="2" xfId="0" applyFont="1" applyFill="1" applyBorder="1" applyAlignment="1" applyProtection="1">
      <alignment horizontal="center" vertical="center" wrapText="1"/>
      <protection locked="0"/>
    </xf>
    <xf numFmtId="0" fontId="15" fillId="5" borderId="2" xfId="0" applyFont="1" applyFill="1" applyBorder="1" applyAlignment="1" applyProtection="1">
      <alignment horizontal="center" vertical="center" wrapText="1"/>
      <protection locked="0"/>
    </xf>
    <xf numFmtId="0" fontId="15" fillId="6" borderId="2" xfId="0" applyFont="1" applyFill="1" applyBorder="1" applyAlignment="1" applyProtection="1">
      <alignment horizontal="center" vertical="center" wrapText="1"/>
      <protection locked="0"/>
    </xf>
    <xf numFmtId="0" fontId="15" fillId="6" borderId="2" xfId="0" applyFont="1" applyFill="1" applyBorder="1" applyAlignment="1" applyProtection="1">
      <alignment horizontal="center" vertical="center"/>
      <protection locked="0"/>
    </xf>
    <xf numFmtId="0" fontId="15" fillId="7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 applyProtection="1">
      <alignment horizontal="center" vertical="center"/>
      <protection locked="0"/>
    </xf>
    <xf numFmtId="0" fontId="18" fillId="7" borderId="2" xfId="0" applyFont="1" applyFill="1" applyBorder="1" applyAlignment="1" applyProtection="1">
      <alignment horizontal="center" vertical="center" wrapText="1"/>
      <protection locked="0"/>
    </xf>
    <xf numFmtId="0" fontId="15" fillId="7" borderId="2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 applyProtection="1">
      <alignment horizontal="left" vertical="top" wrapText="1"/>
      <protection locked="0"/>
    </xf>
    <xf numFmtId="0" fontId="19" fillId="0" borderId="0" xfId="0" applyFont="1" applyAlignment="1" applyProtection="1">
      <alignment horizontal="left" vertical="top"/>
      <protection locked="0"/>
    </xf>
    <xf numFmtId="0" fontId="19" fillId="0" borderId="0" xfId="0" applyFont="1" applyAlignment="1" applyProtection="1">
      <alignment vertical="top"/>
      <protection locked="0"/>
    </xf>
    <xf numFmtId="164" fontId="15" fillId="7" borderId="2" xfId="0" applyNumberFormat="1" applyFont="1" applyFill="1" applyBorder="1" applyAlignment="1" applyProtection="1">
      <alignment horizontal="center" vertical="center"/>
      <protection locked="0"/>
    </xf>
    <xf numFmtId="164" fontId="18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15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164" fontId="15" fillId="5" borderId="2" xfId="0" applyNumberFormat="1" applyFont="1" applyFill="1" applyBorder="1" applyAlignment="1" applyProtection="1">
      <alignment horizontal="center" vertical="center" wrapText="1"/>
      <protection locked="0"/>
    </xf>
    <xf numFmtId="164" fontId="15" fillId="6" borderId="2" xfId="0" applyNumberFormat="1" applyFont="1" applyFill="1" applyBorder="1" applyAlignment="1" applyProtection="1">
      <alignment horizontal="center" vertical="center" wrapText="1"/>
      <protection locked="0"/>
    </xf>
    <xf numFmtId="164" fontId="15" fillId="3" borderId="2" xfId="0" applyNumberFormat="1" applyFont="1" applyFill="1" applyBorder="1" applyAlignment="1" applyProtection="1">
      <alignment horizontal="center" vertical="center" wrapText="1"/>
      <protection locked="0"/>
    </xf>
    <xf numFmtId="164" fontId="19" fillId="0" borderId="0" xfId="0" applyNumberFormat="1" applyFont="1" applyAlignment="1" applyProtection="1">
      <alignment horizontal="center" vertical="top" wrapText="1"/>
      <protection locked="0"/>
    </xf>
    <xf numFmtId="164" fontId="12" fillId="0" borderId="0" xfId="0" applyNumberFormat="1" applyFont="1" applyAlignment="1" applyProtection="1">
      <alignment horizontal="center" vertical="top"/>
      <protection locked="0"/>
    </xf>
    <xf numFmtId="0" fontId="19" fillId="0" borderId="0" xfId="0" applyFont="1" applyAlignment="1" applyProtection="1">
      <alignment horizontal="center" vertical="top" wrapText="1"/>
      <protection locked="0"/>
    </xf>
    <xf numFmtId="0" fontId="19" fillId="0" borderId="0" xfId="0" applyFont="1" applyAlignment="1">
      <alignment horizontal="center" vertical="top" wrapText="1"/>
    </xf>
    <xf numFmtId="0" fontId="12" fillId="0" borderId="0" xfId="0" applyFont="1" applyAlignment="1">
      <alignment horizontal="center" vertical="top"/>
    </xf>
    <xf numFmtId="0" fontId="0" fillId="8" borderId="0" xfId="0" applyFill="1" applyAlignment="1">
      <alignment horizontal="left" vertical="top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top"/>
    </xf>
    <xf numFmtId="0" fontId="19" fillId="8" borderId="0" xfId="0" applyFont="1" applyFill="1" applyAlignment="1">
      <alignment horizontal="left" vertical="top"/>
    </xf>
    <xf numFmtId="0" fontId="19" fillId="8" borderId="0" xfId="0" applyFont="1" applyFill="1" applyAlignment="1">
      <alignment vertical="top"/>
    </xf>
    <xf numFmtId="0" fontId="0" fillId="8" borderId="0" xfId="0" applyFill="1" applyAlignment="1">
      <alignment vertical="top"/>
    </xf>
    <xf numFmtId="0" fontId="6" fillId="8" borderId="0" xfId="0" applyFont="1" applyFill="1" applyAlignment="1">
      <alignment horizontal="center" vertical="top"/>
    </xf>
    <xf numFmtId="0" fontId="6" fillId="8" borderId="0" xfId="0" applyFont="1" applyFill="1" applyAlignment="1">
      <alignment horizontal="left" vertical="top"/>
    </xf>
    <xf numFmtId="164" fontId="6" fillId="8" borderId="0" xfId="0" applyNumberFormat="1" applyFont="1" applyFill="1" applyAlignment="1">
      <alignment horizontal="center" vertical="top"/>
    </xf>
    <xf numFmtId="0" fontId="16" fillId="2" borderId="0" xfId="0" applyFont="1" applyFill="1" applyAlignment="1">
      <alignment horizontal="center" vertical="top"/>
    </xf>
    <xf numFmtId="0" fontId="16" fillId="2" borderId="0" xfId="0" applyFont="1" applyFill="1" applyAlignment="1">
      <alignment horizontal="left" vertical="top"/>
    </xf>
    <xf numFmtId="0" fontId="16" fillId="2" borderId="0" xfId="0" applyFont="1" applyFill="1" applyAlignment="1" applyProtection="1">
      <alignment horizontal="left" vertical="top"/>
      <protection locked="0"/>
    </xf>
    <xf numFmtId="164" fontId="16" fillId="2" borderId="0" xfId="0" applyNumberFormat="1" applyFont="1" applyFill="1" applyAlignment="1" applyProtection="1">
      <alignment horizontal="center" vertical="top"/>
      <protection locked="0"/>
    </xf>
    <xf numFmtId="0" fontId="16" fillId="2" borderId="0" xfId="0" applyFont="1" applyFill="1" applyAlignment="1" applyProtection="1">
      <alignment horizontal="center" vertical="top"/>
      <protection locked="0"/>
    </xf>
    <xf numFmtId="164" fontId="16" fillId="2" borderId="0" xfId="0" applyNumberFormat="1" applyFont="1" applyFill="1" applyAlignment="1" applyProtection="1">
      <alignment horizontal="center" vertical="top" wrapText="1"/>
      <protection locked="0"/>
    </xf>
    <xf numFmtId="0" fontId="16" fillId="2" borderId="0" xfId="0" applyFont="1" applyFill="1" applyAlignment="1" applyProtection="1">
      <alignment horizontal="left" vertical="top" wrapText="1"/>
      <protection locked="0"/>
    </xf>
    <xf numFmtId="14" fontId="19" fillId="0" borderId="0" xfId="0" applyNumberFormat="1" applyFont="1" applyAlignment="1" applyProtection="1">
      <alignment horizontal="left" vertical="top" wrapText="1"/>
      <protection locked="0"/>
    </xf>
    <xf numFmtId="0" fontId="15" fillId="7" borderId="5" xfId="0" applyFont="1" applyFill="1" applyBorder="1" applyAlignment="1">
      <alignment horizontal="center" vertical="center" wrapText="1"/>
    </xf>
    <xf numFmtId="0" fontId="8" fillId="8" borderId="12" xfId="0" applyFont="1" applyFill="1" applyBorder="1" applyAlignment="1">
      <alignment horizontal="center" vertical="center"/>
    </xf>
    <xf numFmtId="0" fontId="15" fillId="3" borderId="3" xfId="0" applyFont="1" applyFill="1" applyBorder="1" applyAlignment="1" applyProtection="1">
      <alignment horizontal="center" vertical="center"/>
      <protection locked="0"/>
    </xf>
    <xf numFmtId="0" fontId="0" fillId="8" borderId="11" xfId="0" applyFill="1" applyBorder="1" applyAlignment="1">
      <alignment horizontal="left" vertical="top"/>
    </xf>
    <xf numFmtId="0" fontId="7" fillId="8" borderId="11" xfId="0" applyFont="1" applyFill="1" applyBorder="1" applyAlignment="1">
      <alignment horizontal="left" vertical="top"/>
    </xf>
    <xf numFmtId="0" fontId="8" fillId="8" borderId="11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left" vertical="top"/>
    </xf>
    <xf numFmtId="0" fontId="19" fillId="8" borderId="11" xfId="0" applyFont="1" applyFill="1" applyBorder="1" applyAlignment="1">
      <alignment horizontal="left" vertical="top"/>
    </xf>
    <xf numFmtId="0" fontId="19" fillId="8" borderId="11" xfId="0" applyFont="1" applyFill="1" applyBorder="1" applyAlignment="1">
      <alignment vertical="top"/>
    </xf>
    <xf numFmtId="0" fontId="0" fillId="8" borderId="11" xfId="0" applyFill="1" applyBorder="1" applyAlignment="1">
      <alignment vertical="top"/>
    </xf>
    <xf numFmtId="164" fontId="15" fillId="7" borderId="2" xfId="0" applyNumberFormat="1" applyFont="1" applyFill="1" applyBorder="1" applyAlignment="1">
      <alignment horizontal="center" vertical="center" wrapText="1"/>
    </xf>
    <xf numFmtId="164" fontId="16" fillId="2" borderId="0" xfId="0" applyNumberFormat="1" applyFont="1" applyFill="1" applyAlignment="1">
      <alignment horizontal="center" vertical="top"/>
    </xf>
    <xf numFmtId="164" fontId="19" fillId="0" borderId="0" xfId="0" applyNumberFormat="1" applyFont="1" applyAlignment="1">
      <alignment horizontal="center" vertical="top" wrapText="1"/>
    </xf>
    <xf numFmtId="164" fontId="12" fillId="0" borderId="0" xfId="0" applyNumberFormat="1" applyFont="1" applyAlignment="1">
      <alignment horizontal="center" vertical="top"/>
    </xf>
    <xf numFmtId="43" fontId="6" fillId="8" borderId="0" xfId="1" applyFont="1" applyFill="1" applyAlignment="1">
      <alignment horizontal="left" vertical="top"/>
    </xf>
    <xf numFmtId="43" fontId="15" fillId="7" borderId="2" xfId="1" applyFont="1" applyFill="1" applyBorder="1" applyAlignment="1" applyProtection="1">
      <alignment horizontal="center" vertical="center"/>
      <protection locked="0"/>
    </xf>
    <xf numFmtId="43" fontId="16" fillId="2" borderId="0" xfId="1" applyFont="1" applyFill="1" applyBorder="1" applyAlignment="1" applyProtection="1">
      <alignment horizontal="left" vertical="top"/>
      <protection locked="0"/>
    </xf>
    <xf numFmtId="43" fontId="19" fillId="0" borderId="0" xfId="1" applyFont="1" applyBorder="1" applyAlignment="1" applyProtection="1">
      <alignment horizontal="left" vertical="top" wrapText="1"/>
      <protection locked="0"/>
    </xf>
    <xf numFmtId="43" fontId="12" fillId="0" borderId="0" xfId="1" applyFont="1" applyAlignment="1" applyProtection="1">
      <alignment vertical="top"/>
      <protection locked="0"/>
    </xf>
    <xf numFmtId="0" fontId="16" fillId="2" borderId="0" xfId="0" applyFont="1" applyFill="1" applyAlignment="1" applyProtection="1">
      <alignment horizontal="center" vertical="top" wrapText="1"/>
      <protection locked="0"/>
    </xf>
    <xf numFmtId="0" fontId="20" fillId="7" borderId="2" xfId="0" applyFont="1" applyFill="1" applyBorder="1" applyAlignment="1" applyProtection="1">
      <alignment horizontal="center" vertical="center" wrapText="1"/>
      <protection locked="0"/>
    </xf>
    <xf numFmtId="0" fontId="4" fillId="9" borderId="15" xfId="0" applyFont="1" applyFill="1" applyBorder="1" applyAlignment="1">
      <alignment horizontal="center" vertical="center"/>
    </xf>
    <xf numFmtId="0" fontId="4" fillId="9" borderId="15" xfId="0" applyFont="1" applyFill="1" applyBorder="1" applyAlignment="1">
      <alignment horizontal="center" vertical="center" wrapText="1"/>
    </xf>
    <xf numFmtId="0" fontId="4" fillId="9" borderId="16" xfId="0" applyFont="1" applyFill="1" applyBorder="1" applyAlignment="1">
      <alignment horizontal="center" vertical="center"/>
    </xf>
    <xf numFmtId="0" fontId="3" fillId="0" borderId="17" xfId="0" applyFont="1" applyBorder="1" applyAlignment="1">
      <alignment vertical="top"/>
    </xf>
    <xf numFmtId="0" fontId="3" fillId="0" borderId="18" xfId="0" applyFont="1" applyBorder="1" applyAlignment="1">
      <alignment vertical="top"/>
    </xf>
    <xf numFmtId="0" fontId="3" fillId="0" borderId="19" xfId="0" applyFont="1" applyBorder="1" applyAlignment="1">
      <alignment vertical="top"/>
    </xf>
    <xf numFmtId="0" fontId="5" fillId="0" borderId="0" xfId="0" applyFont="1" applyAlignment="1">
      <alignment horizontal="center"/>
    </xf>
    <xf numFmtId="0" fontId="3" fillId="0" borderId="33" xfId="0" applyFont="1" applyBorder="1" applyAlignment="1">
      <alignment vertical="top"/>
    </xf>
    <xf numFmtId="0" fontId="3" fillId="0" borderId="31" xfId="0" applyFont="1" applyBorder="1" applyAlignment="1">
      <alignment vertical="top"/>
    </xf>
    <xf numFmtId="0" fontId="3" fillId="0" borderId="29" xfId="0" applyFont="1" applyBorder="1" applyAlignment="1">
      <alignment vertical="top"/>
    </xf>
    <xf numFmtId="0" fontId="4" fillId="9" borderId="42" xfId="0" applyFont="1" applyFill="1" applyBorder="1" applyAlignment="1">
      <alignment horizontal="center" vertical="center"/>
    </xf>
    <xf numFmtId="0" fontId="3" fillId="0" borderId="43" xfId="0" applyFont="1" applyBorder="1"/>
    <xf numFmtId="0" fontId="3" fillId="0" borderId="38" xfId="0" applyFont="1" applyBorder="1"/>
    <xf numFmtId="0" fontId="3" fillId="0" borderId="44" xfId="0" applyFont="1" applyBorder="1"/>
    <xf numFmtId="0" fontId="0" fillId="8" borderId="0" xfId="0" applyFill="1" applyAlignment="1">
      <alignment horizontal="center" vertical="top"/>
    </xf>
    <xf numFmtId="0" fontId="0" fillId="8" borderId="12" xfId="0" applyFill="1" applyBorder="1" applyAlignment="1">
      <alignment horizontal="center" vertical="top"/>
    </xf>
    <xf numFmtId="0" fontId="7" fillId="8" borderId="12" xfId="0" applyFont="1" applyFill="1" applyBorder="1" applyAlignment="1">
      <alignment horizontal="center" vertical="top"/>
    </xf>
    <xf numFmtId="0" fontId="13" fillId="8" borderId="12" xfId="0" applyFont="1" applyFill="1" applyBorder="1" applyAlignment="1">
      <alignment horizontal="center" vertical="top"/>
    </xf>
    <xf numFmtId="0" fontId="19" fillId="8" borderId="12" xfId="0" applyFont="1" applyFill="1" applyBorder="1" applyAlignment="1">
      <alignment horizontal="center" vertical="top"/>
    </xf>
    <xf numFmtId="0" fontId="3" fillId="10" borderId="41" xfId="0" applyFont="1" applyFill="1" applyBorder="1" applyAlignment="1">
      <alignment vertical="center"/>
    </xf>
    <xf numFmtId="0" fontId="3" fillId="10" borderId="26" xfId="0" applyFont="1" applyFill="1" applyBorder="1" applyAlignment="1">
      <alignment vertical="center"/>
    </xf>
    <xf numFmtId="0" fontId="3" fillId="10" borderId="27" xfId="0" applyFont="1" applyFill="1" applyBorder="1" applyAlignment="1">
      <alignment vertical="center"/>
    </xf>
    <xf numFmtId="0" fontId="3" fillId="10" borderId="25" xfId="0" applyFont="1" applyFill="1" applyBorder="1" applyAlignment="1">
      <alignment vertical="center"/>
    </xf>
    <xf numFmtId="0" fontId="3" fillId="10" borderId="44" xfId="0" applyFont="1" applyFill="1" applyBorder="1" applyAlignment="1">
      <alignment vertical="center"/>
    </xf>
    <xf numFmtId="0" fontId="3" fillId="10" borderId="48" xfId="0" applyFont="1" applyFill="1" applyBorder="1" applyAlignment="1">
      <alignment vertical="center"/>
    </xf>
    <xf numFmtId="0" fontId="0" fillId="0" borderId="35" xfId="0" applyBorder="1"/>
    <xf numFmtId="0" fontId="0" fillId="0" borderId="34" xfId="0" applyBorder="1"/>
    <xf numFmtId="0" fontId="0" fillId="0" borderId="36" xfId="0" applyBorder="1"/>
    <xf numFmtId="0" fontId="3" fillId="0" borderId="49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7" xfId="0" applyFont="1" applyBorder="1" applyAlignment="1">
      <alignment horizontal="left" vertical="center"/>
    </xf>
    <xf numFmtId="7" fontId="3" fillId="0" borderId="14" xfId="1" applyNumberFormat="1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50" xfId="0" applyFont="1" applyBorder="1" applyAlignment="1">
      <alignment horizontal="left" vertical="center"/>
    </xf>
    <xf numFmtId="164" fontId="3" fillId="0" borderId="31" xfId="0" applyNumberFormat="1" applyFont="1" applyBorder="1" applyAlignment="1">
      <alignment horizontal="left" vertical="center"/>
    </xf>
    <xf numFmtId="0" fontId="3" fillId="0" borderId="31" xfId="0" applyFont="1" applyBorder="1" applyAlignment="1">
      <alignment horizontal="left" vertical="center"/>
    </xf>
    <xf numFmtId="0" fontId="3" fillId="0" borderId="37" xfId="0" applyFont="1" applyBorder="1" applyAlignment="1">
      <alignment vertical="center"/>
    </xf>
    <xf numFmtId="14" fontId="4" fillId="9" borderId="32" xfId="0" applyNumberFormat="1" applyFont="1" applyFill="1" applyBorder="1" applyAlignment="1">
      <alignment horizontal="center" vertical="center"/>
    </xf>
    <xf numFmtId="164" fontId="15" fillId="11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11" borderId="2" xfId="0" applyFont="1" applyFill="1" applyBorder="1" applyAlignment="1" applyProtection="1">
      <alignment horizontal="center" vertical="center" wrapText="1"/>
      <protection locked="0"/>
    </xf>
    <xf numFmtId="0" fontId="15" fillId="3" borderId="2" xfId="0" applyFont="1" applyFill="1" applyBorder="1" applyAlignment="1">
      <alignment horizontal="center" vertical="top" wrapText="1"/>
    </xf>
    <xf numFmtId="0" fontId="15" fillId="3" borderId="10" xfId="0" applyFont="1" applyFill="1" applyBorder="1" applyAlignment="1">
      <alignment horizontal="center" vertical="top" wrapText="1"/>
    </xf>
    <xf numFmtId="0" fontId="14" fillId="0" borderId="6" xfId="0" applyFont="1" applyBorder="1" applyAlignment="1">
      <alignment horizontal="center" vertical="top" wrapText="1"/>
    </xf>
    <xf numFmtId="0" fontId="14" fillId="0" borderId="7" xfId="0" applyFont="1" applyBorder="1" applyAlignment="1">
      <alignment horizontal="center" vertical="top" wrapText="1"/>
    </xf>
    <xf numFmtId="0" fontId="14" fillId="0" borderId="8" xfId="0" applyFont="1" applyBorder="1" applyAlignment="1">
      <alignment horizontal="center" vertical="top" wrapText="1"/>
    </xf>
    <xf numFmtId="0" fontId="15" fillId="4" borderId="3" xfId="0" applyFont="1" applyFill="1" applyBorder="1" applyAlignment="1">
      <alignment horizontal="center" vertical="top" wrapText="1"/>
    </xf>
    <xf numFmtId="0" fontId="15" fillId="4" borderId="5" xfId="0" applyFont="1" applyFill="1" applyBorder="1" applyAlignment="1">
      <alignment horizontal="center" vertical="top" wrapText="1"/>
    </xf>
    <xf numFmtId="0" fontId="15" fillId="5" borderId="3" xfId="0" applyFont="1" applyFill="1" applyBorder="1" applyAlignment="1">
      <alignment horizontal="center" vertical="top" wrapText="1"/>
    </xf>
    <xf numFmtId="0" fontId="15" fillId="5" borderId="5" xfId="0" applyFont="1" applyFill="1" applyBorder="1" applyAlignment="1">
      <alignment horizontal="center" vertical="top" wrapText="1"/>
    </xf>
    <xf numFmtId="0" fontId="15" fillId="6" borderId="3" xfId="0" applyFont="1" applyFill="1" applyBorder="1" applyAlignment="1">
      <alignment horizontal="center" vertical="top" wrapText="1"/>
    </xf>
    <xf numFmtId="0" fontId="15" fillId="6" borderId="4" xfId="0" applyFont="1" applyFill="1" applyBorder="1" applyAlignment="1">
      <alignment horizontal="center" vertical="top" wrapText="1"/>
    </xf>
    <xf numFmtId="0" fontId="15" fillId="6" borderId="5" xfId="0" applyFont="1" applyFill="1" applyBorder="1" applyAlignment="1">
      <alignment horizontal="center" vertical="top" wrapText="1"/>
    </xf>
    <xf numFmtId="0" fontId="15" fillId="7" borderId="9" xfId="0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horizontal="center" vertical="top" wrapText="1"/>
    </xf>
    <xf numFmtId="0" fontId="15" fillId="7" borderId="5" xfId="0" applyFont="1" applyFill="1" applyBorder="1" applyAlignment="1">
      <alignment horizontal="center" vertical="top" wrapText="1"/>
    </xf>
    <xf numFmtId="0" fontId="22" fillId="11" borderId="3" xfId="0" applyFont="1" applyFill="1" applyBorder="1" applyAlignment="1">
      <alignment horizontal="center" vertical="top" wrapText="1"/>
    </xf>
    <xf numFmtId="0" fontId="22" fillId="11" borderId="5" xfId="0" applyFont="1" applyFill="1" applyBorder="1" applyAlignment="1">
      <alignment horizontal="center" vertical="top" wrapText="1"/>
    </xf>
    <xf numFmtId="0" fontId="1" fillId="0" borderId="37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9" xfId="0" applyFont="1" applyBorder="1" applyAlignment="1">
      <alignment horizontal="center"/>
    </xf>
    <xf numFmtId="0" fontId="21" fillId="0" borderId="37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9" xfId="0" applyFont="1" applyBorder="1" applyAlignment="1">
      <alignment horizontal="center"/>
    </xf>
    <xf numFmtId="0" fontId="21" fillId="0" borderId="5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5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3" fillId="10" borderId="39" xfId="0" applyFont="1" applyFill="1" applyBorder="1" applyAlignment="1">
      <alignment horizontal="left" vertical="center"/>
    </xf>
    <xf numFmtId="0" fontId="3" fillId="10" borderId="40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</cellXfs>
  <cellStyles count="2">
    <cellStyle name="Comma" xfId="1" builtinId="3"/>
    <cellStyle name="Normal" xfId="0" builtinId="0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arrow"/>
        <family val="2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Times New Roman"/>
        <family val="1"/>
        <scheme val="none"/>
      </font>
      <fill>
        <patternFill patternType="solid">
          <fgColor indexed="64"/>
          <bgColor theme="8" tint="-0.249977111117893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arrow"/>
        <family val="2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Times New Roman"/>
        <family val="1"/>
        <scheme val="none"/>
      </font>
      <fill>
        <patternFill patternType="solid">
          <fgColor indexed="64"/>
          <bgColor theme="8" tint="-0.249977111117893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arrow"/>
        <family val="2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Times New Roman"/>
        <family val="1"/>
        <scheme val="none"/>
      </font>
      <fill>
        <patternFill patternType="solid">
          <fgColor indexed="64"/>
          <bgColor theme="8" tint="-0.249977111117893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arrow"/>
        <family val="2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Times New Roman"/>
        <family val="1"/>
        <scheme val="none"/>
      </font>
      <fill>
        <patternFill patternType="solid">
          <fgColor indexed="64"/>
          <bgColor theme="8" tint="-0.249977111117893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4" formatCode="[$-3409]dd\-mmm\-yy;@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Times New Roman"/>
        <family val="1"/>
        <scheme val="none"/>
      </font>
      <fill>
        <patternFill patternType="solid">
          <fgColor indexed="64"/>
          <bgColor theme="8" tint="-0.249977111117893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E189B5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778669</xdr:colOff>
      <xdr:row>1</xdr:row>
      <xdr:rowOff>104775</xdr:rowOff>
    </xdr:from>
    <xdr:to>
      <xdr:col>32</xdr:col>
      <xdr:colOff>835819</xdr:colOff>
      <xdr:row>1</xdr:row>
      <xdr:rowOff>733425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531E262-941B-4C61-ADA3-B790B293E5B4}"/>
            </a:ext>
          </a:extLst>
        </xdr:cNvPr>
        <xdr:cNvGrpSpPr/>
      </xdr:nvGrpSpPr>
      <xdr:grpSpPr>
        <a:xfrm>
          <a:off x="38868086" y="358775"/>
          <a:ext cx="2819400" cy="628650"/>
          <a:chOff x="11671300" y="4064000"/>
          <a:chExt cx="2204085" cy="864870"/>
        </a:xfrm>
      </xdr:grpSpPr>
      <xdr:pic>
        <xdr:nvPicPr>
          <xdr:cNvPr id="6" name="Image 4">
            <a:extLst>
              <a:ext uri="{FF2B5EF4-FFF2-40B4-BE49-F238E27FC236}">
                <a16:creationId xmlns:a16="http://schemas.microsoft.com/office/drawing/2014/main" id="{A7FB0FA8-82FD-7457-CBE4-6DA3DA35C4BC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1671300" y="4064000"/>
            <a:ext cx="614680" cy="864211"/>
          </a:xfrm>
          <a:prstGeom prst="rect">
            <a:avLst/>
          </a:prstGeom>
        </xdr:spPr>
      </xdr:pic>
      <xdr:pic>
        <xdr:nvPicPr>
          <xdr:cNvPr id="7" name="Image 5">
            <a:extLst>
              <a:ext uri="{FF2B5EF4-FFF2-40B4-BE49-F238E27FC236}">
                <a16:creationId xmlns:a16="http://schemas.microsoft.com/office/drawing/2014/main" id="{5F396CC0-3EFF-B562-7587-F9B080C7E9A7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2277090" y="4261760"/>
            <a:ext cx="1598295" cy="66711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85726</xdr:colOff>
      <xdr:row>1</xdr:row>
      <xdr:rowOff>58209</xdr:rowOff>
    </xdr:from>
    <xdr:to>
      <xdr:col>1</xdr:col>
      <xdr:colOff>1524001</xdr:colOff>
      <xdr:row>1</xdr:row>
      <xdr:rowOff>711461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8A7CF2-57F7-4F3D-A43F-D91A5B4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559" y="312209"/>
          <a:ext cx="1438275" cy="6532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38100</xdr:rowOff>
        </xdr:from>
        <xdr:to>
          <xdr:col>0</xdr:col>
          <xdr:colOff>781050</xdr:colOff>
          <xdr:row>3</xdr:row>
          <xdr:rowOff>504825</xdr:rowOff>
        </xdr:to>
        <xdr:sp macro="" textlink="">
          <xdr:nvSpPr>
            <xdr:cNvPr id="2079" name="CommandButton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778669</xdr:colOff>
      <xdr:row>1</xdr:row>
      <xdr:rowOff>104775</xdr:rowOff>
    </xdr:from>
    <xdr:to>
      <xdr:col>30</xdr:col>
      <xdr:colOff>835819</xdr:colOff>
      <xdr:row>1</xdr:row>
      <xdr:rowOff>733425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0B7ABAF-0C4B-40D5-881C-100B9D4AB6B8}"/>
            </a:ext>
          </a:extLst>
        </xdr:cNvPr>
        <xdr:cNvGrpSpPr/>
      </xdr:nvGrpSpPr>
      <xdr:grpSpPr>
        <a:xfrm>
          <a:off x="32486336" y="358775"/>
          <a:ext cx="2819400" cy="628650"/>
          <a:chOff x="11671300" y="4064000"/>
          <a:chExt cx="2204085" cy="864870"/>
        </a:xfrm>
      </xdr:grpSpPr>
      <xdr:pic>
        <xdr:nvPicPr>
          <xdr:cNvPr id="3" name="Image 4">
            <a:extLst>
              <a:ext uri="{FF2B5EF4-FFF2-40B4-BE49-F238E27FC236}">
                <a16:creationId xmlns:a16="http://schemas.microsoft.com/office/drawing/2014/main" id="{B23CD616-80D5-B2B3-3A43-F6193CFF2365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1671300" y="4064000"/>
            <a:ext cx="614680" cy="864211"/>
          </a:xfrm>
          <a:prstGeom prst="rect">
            <a:avLst/>
          </a:prstGeom>
        </xdr:spPr>
      </xdr:pic>
      <xdr:pic>
        <xdr:nvPicPr>
          <xdr:cNvPr id="4" name="Image 5">
            <a:extLst>
              <a:ext uri="{FF2B5EF4-FFF2-40B4-BE49-F238E27FC236}">
                <a16:creationId xmlns:a16="http://schemas.microsoft.com/office/drawing/2014/main" id="{E26EC240-8B6B-C82D-DA76-4029EB7F5B31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2277090" y="4261760"/>
            <a:ext cx="1598295" cy="66711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85726</xdr:colOff>
      <xdr:row>1</xdr:row>
      <xdr:rowOff>58209</xdr:rowOff>
    </xdr:from>
    <xdr:to>
      <xdr:col>1</xdr:col>
      <xdr:colOff>1524001</xdr:colOff>
      <xdr:row>1</xdr:row>
      <xdr:rowOff>711461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DEAC870-670A-405D-B762-34154807C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6" y="315384"/>
          <a:ext cx="1438275" cy="6532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38100</xdr:rowOff>
        </xdr:from>
        <xdr:to>
          <xdr:col>0</xdr:col>
          <xdr:colOff>781050</xdr:colOff>
          <xdr:row>3</xdr:row>
          <xdr:rowOff>504825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778669</xdr:colOff>
      <xdr:row>1</xdr:row>
      <xdr:rowOff>104775</xdr:rowOff>
    </xdr:from>
    <xdr:to>
      <xdr:col>30</xdr:col>
      <xdr:colOff>835819</xdr:colOff>
      <xdr:row>1</xdr:row>
      <xdr:rowOff>733425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4E36506-03C7-4DC5-A406-58D91DBAE4B1}"/>
            </a:ext>
          </a:extLst>
        </xdr:cNvPr>
        <xdr:cNvGrpSpPr/>
      </xdr:nvGrpSpPr>
      <xdr:grpSpPr>
        <a:xfrm>
          <a:off x="32486336" y="358775"/>
          <a:ext cx="2819400" cy="628650"/>
          <a:chOff x="11671300" y="4064000"/>
          <a:chExt cx="2204085" cy="864870"/>
        </a:xfrm>
      </xdr:grpSpPr>
      <xdr:pic>
        <xdr:nvPicPr>
          <xdr:cNvPr id="3" name="Image 4">
            <a:extLst>
              <a:ext uri="{FF2B5EF4-FFF2-40B4-BE49-F238E27FC236}">
                <a16:creationId xmlns:a16="http://schemas.microsoft.com/office/drawing/2014/main" id="{FBBDC121-346B-1B14-F42F-A128356772DC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1671300" y="4064000"/>
            <a:ext cx="614680" cy="864211"/>
          </a:xfrm>
          <a:prstGeom prst="rect">
            <a:avLst/>
          </a:prstGeom>
        </xdr:spPr>
      </xdr:pic>
      <xdr:pic>
        <xdr:nvPicPr>
          <xdr:cNvPr id="4" name="Image 5">
            <a:extLst>
              <a:ext uri="{FF2B5EF4-FFF2-40B4-BE49-F238E27FC236}">
                <a16:creationId xmlns:a16="http://schemas.microsoft.com/office/drawing/2014/main" id="{B987E968-BF8F-9C0F-0030-5689E5A2A0A9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2277090" y="4261760"/>
            <a:ext cx="1598295" cy="66711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85726</xdr:colOff>
      <xdr:row>1</xdr:row>
      <xdr:rowOff>58209</xdr:rowOff>
    </xdr:from>
    <xdr:to>
      <xdr:col>1</xdr:col>
      <xdr:colOff>1524001</xdr:colOff>
      <xdr:row>1</xdr:row>
      <xdr:rowOff>711461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166A75A-8506-47F0-8710-3AC115A2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6" y="315384"/>
          <a:ext cx="1438275" cy="6532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38100</xdr:rowOff>
        </xdr:from>
        <xdr:to>
          <xdr:col>0</xdr:col>
          <xdr:colOff>781050</xdr:colOff>
          <xdr:row>3</xdr:row>
          <xdr:rowOff>504825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778669</xdr:colOff>
      <xdr:row>1</xdr:row>
      <xdr:rowOff>104775</xdr:rowOff>
    </xdr:from>
    <xdr:to>
      <xdr:col>30</xdr:col>
      <xdr:colOff>835819</xdr:colOff>
      <xdr:row>1</xdr:row>
      <xdr:rowOff>733425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1647CA-9ED3-475A-B56F-580DA03936EA}"/>
            </a:ext>
          </a:extLst>
        </xdr:cNvPr>
        <xdr:cNvGrpSpPr/>
      </xdr:nvGrpSpPr>
      <xdr:grpSpPr>
        <a:xfrm>
          <a:off x="32486336" y="358775"/>
          <a:ext cx="2819400" cy="628650"/>
          <a:chOff x="11671300" y="4064000"/>
          <a:chExt cx="2204085" cy="864870"/>
        </a:xfrm>
      </xdr:grpSpPr>
      <xdr:pic>
        <xdr:nvPicPr>
          <xdr:cNvPr id="3" name="Image 4">
            <a:extLst>
              <a:ext uri="{FF2B5EF4-FFF2-40B4-BE49-F238E27FC236}">
                <a16:creationId xmlns:a16="http://schemas.microsoft.com/office/drawing/2014/main" id="{6ACFEBC6-FBED-67A4-7BF9-0C7B815F357A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1671300" y="4064000"/>
            <a:ext cx="614680" cy="864211"/>
          </a:xfrm>
          <a:prstGeom prst="rect">
            <a:avLst/>
          </a:prstGeom>
        </xdr:spPr>
      </xdr:pic>
      <xdr:pic>
        <xdr:nvPicPr>
          <xdr:cNvPr id="4" name="Image 5">
            <a:extLst>
              <a:ext uri="{FF2B5EF4-FFF2-40B4-BE49-F238E27FC236}">
                <a16:creationId xmlns:a16="http://schemas.microsoft.com/office/drawing/2014/main" id="{8951F234-B6D5-CB32-6BF5-0767217342A0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2277090" y="4261760"/>
            <a:ext cx="1598295" cy="66711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85726</xdr:colOff>
      <xdr:row>1</xdr:row>
      <xdr:rowOff>58209</xdr:rowOff>
    </xdr:from>
    <xdr:to>
      <xdr:col>1</xdr:col>
      <xdr:colOff>1524001</xdr:colOff>
      <xdr:row>1</xdr:row>
      <xdr:rowOff>711461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F9E9CE-10F9-4E25-8974-F5E469F0C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6" y="315384"/>
          <a:ext cx="1438275" cy="6532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38100</xdr:rowOff>
        </xdr:from>
        <xdr:to>
          <xdr:col>0</xdr:col>
          <xdr:colOff>781050</xdr:colOff>
          <xdr:row>3</xdr:row>
          <xdr:rowOff>504825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778669</xdr:colOff>
      <xdr:row>1</xdr:row>
      <xdr:rowOff>104775</xdr:rowOff>
    </xdr:from>
    <xdr:to>
      <xdr:col>30</xdr:col>
      <xdr:colOff>835819</xdr:colOff>
      <xdr:row>1</xdr:row>
      <xdr:rowOff>733425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FCBD4D6-411A-4599-9AC5-8F36ED95C0EA}"/>
            </a:ext>
          </a:extLst>
        </xdr:cNvPr>
        <xdr:cNvGrpSpPr/>
      </xdr:nvGrpSpPr>
      <xdr:grpSpPr>
        <a:xfrm>
          <a:off x="32486336" y="358775"/>
          <a:ext cx="2819400" cy="628650"/>
          <a:chOff x="11671300" y="4064000"/>
          <a:chExt cx="2204085" cy="864870"/>
        </a:xfrm>
      </xdr:grpSpPr>
      <xdr:pic>
        <xdr:nvPicPr>
          <xdr:cNvPr id="3" name="Image 4">
            <a:extLst>
              <a:ext uri="{FF2B5EF4-FFF2-40B4-BE49-F238E27FC236}">
                <a16:creationId xmlns:a16="http://schemas.microsoft.com/office/drawing/2014/main" id="{C70C8DCE-35CD-97AE-0C44-87BBC77EBC6A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1671300" y="4064000"/>
            <a:ext cx="614680" cy="864211"/>
          </a:xfrm>
          <a:prstGeom prst="rect">
            <a:avLst/>
          </a:prstGeom>
        </xdr:spPr>
      </xdr:pic>
      <xdr:pic>
        <xdr:nvPicPr>
          <xdr:cNvPr id="4" name="Image 5">
            <a:extLst>
              <a:ext uri="{FF2B5EF4-FFF2-40B4-BE49-F238E27FC236}">
                <a16:creationId xmlns:a16="http://schemas.microsoft.com/office/drawing/2014/main" id="{03D8EAF4-7654-E4C3-C1C6-53BABC2E22F2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2277090" y="4261760"/>
            <a:ext cx="1598295" cy="66711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85726</xdr:colOff>
      <xdr:row>1</xdr:row>
      <xdr:rowOff>58209</xdr:rowOff>
    </xdr:from>
    <xdr:to>
      <xdr:col>1</xdr:col>
      <xdr:colOff>1524001</xdr:colOff>
      <xdr:row>1</xdr:row>
      <xdr:rowOff>711461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30A94D0-6742-4C72-9132-6F9AFE2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6" y="315384"/>
          <a:ext cx="1438275" cy="6532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38100</xdr:rowOff>
        </xdr:from>
        <xdr:to>
          <xdr:col>0</xdr:col>
          <xdr:colOff>781050</xdr:colOff>
          <xdr:row>3</xdr:row>
          <xdr:rowOff>504825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2</xdr:row>
      <xdr:rowOff>76200</xdr:rowOff>
    </xdr:from>
    <xdr:to>
      <xdr:col>5</xdr:col>
      <xdr:colOff>1209674</xdr:colOff>
      <xdr:row>6</xdr:row>
      <xdr:rowOff>142875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AB2CA8-0253-4A02-9AB3-C7A3DF5D7048}"/>
            </a:ext>
          </a:extLst>
        </xdr:cNvPr>
        <xdr:cNvGrpSpPr/>
      </xdr:nvGrpSpPr>
      <xdr:grpSpPr>
        <a:xfrm>
          <a:off x="7162800" y="457200"/>
          <a:ext cx="2047874" cy="885825"/>
          <a:chOff x="11671300" y="4064000"/>
          <a:chExt cx="2204085" cy="864870"/>
        </a:xfrm>
      </xdr:grpSpPr>
      <xdr:pic>
        <xdr:nvPicPr>
          <xdr:cNvPr id="3" name="Image 4">
            <a:extLst>
              <a:ext uri="{FF2B5EF4-FFF2-40B4-BE49-F238E27FC236}">
                <a16:creationId xmlns:a16="http://schemas.microsoft.com/office/drawing/2014/main" id="{899FD548-631D-D22D-BD47-FEAFF5606CB8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1671300" y="4064000"/>
            <a:ext cx="614680" cy="864211"/>
          </a:xfrm>
          <a:prstGeom prst="rect">
            <a:avLst/>
          </a:prstGeom>
        </xdr:spPr>
      </xdr:pic>
      <xdr:pic>
        <xdr:nvPicPr>
          <xdr:cNvPr id="4" name="Image 5">
            <a:extLst>
              <a:ext uri="{FF2B5EF4-FFF2-40B4-BE49-F238E27FC236}">
                <a16:creationId xmlns:a16="http://schemas.microsoft.com/office/drawing/2014/main" id="{79800D82-78F1-3F9D-3267-AA0D808E0982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2277090" y="4261760"/>
            <a:ext cx="1598295" cy="66711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76198</xdr:colOff>
      <xdr:row>2</xdr:row>
      <xdr:rowOff>38100</xdr:rowOff>
    </xdr:from>
    <xdr:to>
      <xdr:col>1</xdr:col>
      <xdr:colOff>771524</xdr:colOff>
      <xdr:row>6</xdr:row>
      <xdr:rowOff>171450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8B39FC-8FEC-48DC-A5CF-216D02EAF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98" y="419100"/>
          <a:ext cx="2038351" cy="952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7B9F40-C583-4CB9-B620-AACD5178FAC0}" name="GF_RS" displayName="GF_RS" ref="B5:AG10" totalsRowShown="0" headerRowDxfId="165" dataDxfId="164">
  <autoFilter ref="B5:AG10" xr:uid="{4E7B9F40-C583-4CB9-B620-AACD5178FAC0}"/>
  <tableColumns count="32">
    <tableColumn id="1" xr3:uid="{4953ACA4-440F-40DE-8F89-1BCF700A6CCF}" name="Search RS No." dataDxfId="163">
      <calculatedColumnFormula>"GF-IN"&amp;TEXT(MONTH(GF_RS[[#This Row],[RS Date (Date Received)]]),"00")&amp;"2024-"&amp;TEXT(ROW(A1),"0000")</calculatedColumnFormula>
    </tableColumn>
    <tableColumn id="25" xr3:uid="{10C0121F-E823-480E-BDEE-0A54CB86664C}" name="RS Date (Date Received)" dataDxfId="162"/>
    <tableColumn id="26" xr3:uid="{FC1E41F9-31F6-4733-BFBE-973D811ADAA2}" name="Received by" dataDxfId="161"/>
    <tableColumn id="39" xr3:uid="{4191B48E-90C9-4274-9CC8-635BC00C60B6}" name="ORS No. (for GF)" dataDxfId="160"/>
    <tableColumn id="2" xr3:uid="{3C907F4B-F3B5-4352-A0B9-26FEDCB68C77}" name="Payee" dataDxfId="159"/>
    <tableColumn id="23" xr3:uid="{2B1CE32C-53E6-45B2-B3FA-F9B3DCB77F34}" name="Particulars" dataDxfId="158"/>
    <tableColumn id="22" xr3:uid="{BF1C8AB4-1E42-4E38-88AF-AD85939837FE}" name="Gross Amount" dataDxfId="157" dataCellStyle="Comma"/>
    <tableColumn id="27" xr3:uid="{7B0FED50-851D-43AC-876C-0CB440A83E91}" name="Status_Initial" dataDxfId="156"/>
    <tableColumn id="28" xr3:uid="{8B4E3AFC-77CF-40C0-9112-CB0F91FD4C78}" name="Date Returned (if with pending)" dataDxfId="155"/>
    <tableColumn id="29" xr3:uid="{22994A00-3F81-4450-870D-1B76705975DD}" name="Returned To (if with pending)" dataDxfId="154"/>
    <tableColumn id="30" xr3:uid="{D5BD8A5C-1396-4A3F-A006-D1A69C372BD3}" name="Compliance Date" dataDxfId="153"/>
    <tableColumn id="34" xr3:uid="{5E601D8B-FC1B-47B8-AD02-C7D4F0F468DC}" name="DV No." dataDxfId="152"/>
    <tableColumn id="33" xr3:uid="{8487C13C-0E5C-4BA6-8A37-8BFF80D021D6}" name="DV Date" dataDxfId="151"/>
    <tableColumn id="32" xr3:uid="{8E9159B8-38E2-4594-A23C-B369B6A8B320}" name="Status_Final" dataDxfId="150"/>
    <tableColumn id="36" xr3:uid="{960C285E-76FF-4810-A960-CDD2699DC461}" name="Date Returned (if with pending)2" dataDxfId="149"/>
    <tableColumn id="35" xr3:uid="{7AA5C7B3-3133-4CC0-9156-62222B660EBF}" name="Returned To (if with pending)3" dataDxfId="148"/>
    <tableColumn id="31" xr3:uid="{990DA623-ECC4-4F3D-961C-18FFAA81F2FD}" name="Compliance Date4" dataDxfId="147"/>
    <tableColumn id="3" xr3:uid="{B9918EB7-67B0-4FBA-8829-F2FC4E9D7E25}" name="Date_x000a_Released" dataDxfId="146"/>
    <tableColumn id="4" xr3:uid="{A24E3B08-1E5E-448C-8D7C-DB95686176E0}" name="Released to" dataDxfId="145"/>
    <tableColumn id="40" xr3:uid="{5273170E-F315-494A-B155-3794FD759A3F}" name="Column1" dataDxfId="144">
      <calculatedColumnFormula>_xlfn.DAYS(GF_RS[[#This Row],[Date
Released]],GF_RS[[#This Row],[RS Date (Date Received)]])</calculatedColumnFormula>
    </tableColumn>
    <tableColumn id="7" xr3:uid="{C796A251-6FF7-4476-8EEC-05F89D7CFE58}" name="Column12" dataDxfId="143"/>
    <tableColumn id="6" xr3:uid="{FAA59A32-5E93-4769-A1F7-741561644923}" name="Column2" dataDxfId="142"/>
    <tableColumn id="37" xr3:uid="{0ACD7301-8597-40B5-B051-F3A11E1050B7}" name="Date_x000a_Received" dataDxfId="141"/>
    <tableColumn id="5" xr3:uid="{CD3CDE60-7753-4C6F-98A1-13B1235814CE}" name="Received By5" dataDxfId="140"/>
    <tableColumn id="8" xr3:uid="{09F39B29-41B8-4E7F-B4F5-DBD53CB66270}" name="Date_x000a_Received6" dataDxfId="139"/>
    <tableColumn id="9" xr3:uid="{8E3F8C2A-2D8C-4F0C-B967-53ECC644A4D6}" name="Received by7" dataDxfId="138"/>
    <tableColumn id="10" xr3:uid="{C26F364E-8D0E-4A0D-BD42-F6A231DFAEA8}" name="Date_x000a_Received8" dataDxfId="137"/>
    <tableColumn id="11" xr3:uid="{55B30627-F12B-4A07-83E5-EC9E9D0F0B86}" name="Received by9" dataDxfId="136"/>
    <tableColumn id="12" xr3:uid="{9FA47D6E-034B-4512-B3DB-C9D547FCB2C3}" name="Status" dataDxfId="135"/>
    <tableColumn id="16" xr3:uid="{BA775A80-7B05-4EAE-AA4F-391E933A741C}" name="Date_x000a_Received10" dataDxfId="134"/>
    <tableColumn id="38" xr3:uid="{E3EACC81-3DA5-4389-B7D2-A2D2066829C0}" name="Received by11" dataDxfId="133"/>
    <tableColumn id="17" xr3:uid="{46C4A9DD-9FAA-41ED-B7F5-41A3F149B4AD}" name="Status12" dataDxfId="132"/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7EB1FD-FEE0-4E46-AFE7-14811D1129EA}" name="GF_RS2" displayName="GF_RS2" ref="B5:AE10" totalsRowShown="0" headerRowDxfId="130" dataDxfId="129">
  <autoFilter ref="B5:AE10" xr:uid="{4E7B9F40-C583-4CB9-B620-AACD5178FAC0}"/>
  <tableColumns count="30">
    <tableColumn id="1" xr3:uid="{3C2375FF-2C50-4A78-93F7-748DE9D131EE}" name="Search RS No." dataDxfId="128">
      <calculatedColumnFormula>"CIAC-IN"&amp;TEXT(MONTH(GF_RS2[[#This Row],[RS Date (Date Received)]]),"00")&amp;"2024-"&amp;TEXT(ROW(A1),"0000")</calculatedColumnFormula>
    </tableColumn>
    <tableColumn id="25" xr3:uid="{08A7D73B-287C-4B15-B1F9-2E81E6CE2A03}" name="RS Date (Date Received)" dataDxfId="3"/>
    <tableColumn id="26" xr3:uid="{FAE58275-FCE3-40C0-9364-EC277834F341}" name="Received by" dataDxfId="127"/>
    <tableColumn id="39" xr3:uid="{BF4A7EF2-F4AE-4720-8C92-8A45526D5129}" name="ORS No. (for GF)" dataDxfId="126"/>
    <tableColumn id="2" xr3:uid="{FC994D6A-7836-43F5-8BF1-E26A3B1F62B5}" name="Payee" dataDxfId="125"/>
    <tableColumn id="23" xr3:uid="{1089FCF6-29D7-449A-B708-9D00E5068319}" name="Particulars" dataDxfId="124"/>
    <tableColumn id="22" xr3:uid="{CFC9C3E6-36AA-4E2A-A65D-F282BB051034}" name="Gross Amount" dataDxfId="123" dataCellStyle="Comma"/>
    <tableColumn id="27" xr3:uid="{478FDC1C-F26C-44BC-863C-F944D61CB405}" name="Status_Initial" dataDxfId="122"/>
    <tableColumn id="28" xr3:uid="{0A7B79A0-796C-4580-83A4-9A5254285D18}" name="Date Returned (if with pending)" dataDxfId="121"/>
    <tableColumn id="29" xr3:uid="{21E08F98-8319-415A-8296-C2441CB836D3}" name="Returned To (if with pending)" dataDxfId="120"/>
    <tableColumn id="30" xr3:uid="{3A198C79-7353-4406-9155-EE5B84FA58AA}" name="Compliance Date" dataDxfId="119"/>
    <tableColumn id="34" xr3:uid="{502461C7-2B1D-49DF-B101-2C4DB083BA74}" name="DV No." dataDxfId="118"/>
    <tableColumn id="33" xr3:uid="{C9E4DDB1-1F28-4405-A66A-64B708E7E2A0}" name="DV Date" dataDxfId="117"/>
    <tableColumn id="32" xr3:uid="{840FFB8B-E160-434C-9C4C-9312C70A9AB2}" name="Status_Final" dataDxfId="116"/>
    <tableColumn id="36" xr3:uid="{12CBD4B2-09B1-4994-948B-94A75D13E68C}" name="Date Returned (if with pending)2" dataDxfId="115"/>
    <tableColumn id="35" xr3:uid="{F976C7D2-5C28-4CF1-8509-8E4324A00B83}" name="Returned To (if with pending)3" dataDxfId="114"/>
    <tableColumn id="31" xr3:uid="{799C15F1-F204-411E-9F86-238BFDF3CBAA}" name="Compliance Date4" dataDxfId="113"/>
    <tableColumn id="3" xr3:uid="{8CFB2848-36EA-4432-90D1-814B1765ED68}" name="Date_x000a_Released" dataDxfId="112"/>
    <tableColumn id="4" xr3:uid="{1737A2A7-C275-460E-8D13-D1EDFE4321FF}" name="Released to" dataDxfId="111"/>
    <tableColumn id="40" xr3:uid="{B20FFF40-DC2E-4B03-8870-2B58E0C7D078}" name="Column1" dataDxfId="110">
      <calculatedColumnFormula>_xlfn.DAYS(GF_RS2[[#This Row],[Date
Released]],GF_RS2[[#This Row],[RS Date (Date Received)]])</calculatedColumnFormula>
    </tableColumn>
    <tableColumn id="37" xr3:uid="{91201E46-118A-4F35-BC9A-3A432374404E}" name="Date_x000a_Received" dataDxfId="109"/>
    <tableColumn id="5" xr3:uid="{09839238-EE15-4CD7-9A6D-4DEBB1BEE4C6}" name="Received By5" dataDxfId="108"/>
    <tableColumn id="8" xr3:uid="{DE5A6DC6-3B67-4BD9-BCF8-0766E90CB8C9}" name="Date_x000a_Received6" dataDxfId="107"/>
    <tableColumn id="9" xr3:uid="{02DF2354-4683-4D20-9F2B-CA0871B6F63D}" name="Received by7" dataDxfId="106"/>
    <tableColumn id="10" xr3:uid="{5EB6D080-C37B-43A1-94E6-E8B870CF12F4}" name="Date_x000a_Received8" dataDxfId="105"/>
    <tableColumn id="11" xr3:uid="{08206E94-5C88-43B0-992D-CFF9A8188B6F}" name="Received by9" dataDxfId="104"/>
    <tableColumn id="12" xr3:uid="{93F0053F-5915-4F13-AA3A-4DFC491D21FF}" name="Status" dataDxfId="103"/>
    <tableColumn id="16" xr3:uid="{DBC1EFEF-219C-45BA-9E8A-19AC2FCBC0F4}" name="Date_x000a_Received10" dataDxfId="102"/>
    <tableColumn id="38" xr3:uid="{D9D46496-A1BB-455C-AB62-3D3699A02FC8}" name="Received by11" dataDxfId="101"/>
    <tableColumn id="17" xr3:uid="{60EA977F-20C1-4BB7-8B42-6B51F1EB7E85}" name="Status12" dataDxfId="100"/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2825F1-F19F-48AD-817E-2F9C23E8B743}" name="GF_RS23" displayName="GF_RS23" ref="B5:AE10" totalsRowShown="0" headerRowDxfId="98" dataDxfId="97">
  <autoFilter ref="B5:AE10" xr:uid="{4E7B9F40-C583-4CB9-B620-AACD5178FAC0}"/>
  <tableColumns count="30">
    <tableColumn id="1" xr3:uid="{2391A668-86B7-4E46-8FC5-CA205D61188B}" name="Search RS No." dataDxfId="96">
      <calculatedColumnFormula>"PCAB-IN"&amp;TEXT(MONTH(GF_RS23[[#This Row],[RS Date (Date Received)]]),"00")&amp;"2024-"&amp;TEXT(ROW(A1),"0000")</calculatedColumnFormula>
    </tableColumn>
    <tableColumn id="25" xr3:uid="{689569FC-4846-4809-AC46-D580A27C1E2A}" name="RS Date (Date Received)" dataDxfId="2"/>
    <tableColumn id="26" xr3:uid="{8D9D3AE1-7D22-4F46-ACB1-EA24B8341B9B}" name="Received by" dataDxfId="95"/>
    <tableColumn id="39" xr3:uid="{617F36B5-D119-423E-835E-4DDAE1FA1D32}" name="ORS No. (for GF)" dataDxfId="94"/>
    <tableColumn id="2" xr3:uid="{EFB948C3-770A-4BC8-8359-4C90B8B242C7}" name="Payee" dataDxfId="93"/>
    <tableColumn id="23" xr3:uid="{DC261123-8F50-43A7-82FB-2B526C7FC2AB}" name="Particulars" dataDxfId="92"/>
    <tableColumn id="22" xr3:uid="{38A0D42D-6E9C-494D-B50E-9EBE7725AB38}" name="Gross Amount" dataDxfId="91" dataCellStyle="Comma"/>
    <tableColumn id="27" xr3:uid="{5F612639-004F-4370-BDF2-DE51A90DAAEF}" name="Status_Initial" dataDxfId="90"/>
    <tableColumn id="28" xr3:uid="{6E46D031-7502-4BDE-AFB2-F2117DD90015}" name="Date Returned (if with pending)" dataDxfId="89"/>
    <tableColumn id="29" xr3:uid="{E717F383-1188-46FD-BC9A-8F470521AC9D}" name="Returned To (if with pending)" dataDxfId="88"/>
    <tableColumn id="30" xr3:uid="{BCAABC00-7CE9-44FC-BB60-6DC639A8747C}" name="Compliance Date" dataDxfId="87"/>
    <tableColumn id="34" xr3:uid="{3AC95693-7EF2-45E7-A904-4D6B216EE824}" name="DV No." dataDxfId="86"/>
    <tableColumn id="33" xr3:uid="{D85C8492-FE7B-4532-9092-99E28FF4EEEC}" name="DV Date" dataDxfId="85"/>
    <tableColumn id="32" xr3:uid="{E383D881-E582-4BF4-B78D-1D3C6B9332E0}" name="Status_Final" dataDxfId="84"/>
    <tableColumn id="36" xr3:uid="{02A9CE90-49CC-4201-B77C-49B30B89886B}" name="Date Returned (if with pending)2" dataDxfId="83"/>
    <tableColumn id="35" xr3:uid="{1E16D1FE-3BCD-438E-ADCA-EFCFD5D55BDD}" name="Returned To (if with pending)3" dataDxfId="82"/>
    <tableColumn id="31" xr3:uid="{7BAA2D0C-8A0B-4AD1-A542-BFDC4F4439A7}" name="Compliance Date4" dataDxfId="81"/>
    <tableColumn id="3" xr3:uid="{E9F3666E-77C6-4D26-848C-01714A20594F}" name="Date_x000a_Released" dataDxfId="80"/>
    <tableColumn id="4" xr3:uid="{6A0F4B04-2245-4CD1-8678-5E5769948285}" name="Released to" dataDxfId="79"/>
    <tableColumn id="40" xr3:uid="{CC793A35-4302-4633-924C-37390E53EEC3}" name="Column1" dataDxfId="78">
      <calculatedColumnFormula>_xlfn.DAYS(GF_RS23[[#This Row],[Date
Released]],GF_RS23[[#This Row],[RS Date (Date Received)]])</calculatedColumnFormula>
    </tableColumn>
    <tableColumn id="37" xr3:uid="{0F2170A1-5297-4CC8-978F-06F6FB63A9C8}" name="Date_x000a_Received" dataDxfId="77"/>
    <tableColumn id="5" xr3:uid="{391FC819-23E1-4CCF-8BC3-C8F4C25EF8C4}" name="Received By5" dataDxfId="76"/>
    <tableColumn id="8" xr3:uid="{24147132-7D50-463D-A91C-3F5E789CF93D}" name="Date_x000a_Received6" dataDxfId="75"/>
    <tableColumn id="9" xr3:uid="{CC55C402-910F-4BBD-8798-D49FFFA0E68E}" name="Received by7" dataDxfId="74"/>
    <tableColumn id="10" xr3:uid="{258B077D-E585-430D-A32C-449C3A7CA362}" name="Date_x000a_Received8" dataDxfId="73"/>
    <tableColumn id="11" xr3:uid="{0C7DE4B5-9273-4585-912B-D1ECBBE16411}" name="Received by9" dataDxfId="72"/>
    <tableColumn id="12" xr3:uid="{F304287A-A0F0-4AD5-8A90-457FD45692A6}" name="Status" dataDxfId="71"/>
    <tableColumn id="16" xr3:uid="{40202BA2-03C8-4E24-B558-2C222774E66B}" name="Date_x000a_Received10" dataDxfId="70"/>
    <tableColumn id="38" xr3:uid="{E56EDB64-279F-4FC3-9C97-3FE5A9721A51}" name="Received by11" dataDxfId="69"/>
    <tableColumn id="17" xr3:uid="{AE2C6DA7-FC8D-4A45-9933-954402772385}" name="Status12" dataDxfId="68"/>
  </tableColumns>
  <tableStyleInfo name="TableStyleMedium2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579B41-A137-4A5A-B73A-7B95B8BA3DC7}" name="GF_RS235" displayName="GF_RS235" ref="B5:AE10" totalsRowShown="0" headerRowDxfId="66" dataDxfId="65">
  <autoFilter ref="B5:AE10" xr:uid="{4E7B9F40-C583-4CB9-B620-AACD5178FAC0}"/>
  <tableColumns count="30">
    <tableColumn id="1" xr3:uid="{FB9EE805-8DE3-4F67-B192-2B45A1A39629}" name="Search RS No." dataDxfId="64">
      <calculatedColumnFormula>"CMDF Tr-IN"&amp;TEXT(MONTH(GF_RS235[[#This Row],[RS Date (Date Received)]]),"00")&amp;"2024-"&amp;TEXT(ROW(A1),"0000")</calculatedColumnFormula>
    </tableColumn>
    <tableColumn id="25" xr3:uid="{B88931B8-645C-42A3-9249-5D5A8D5D4EA9}" name="RS Date (Date Received)" dataDxfId="1"/>
    <tableColumn id="26" xr3:uid="{68730195-EEC6-4A08-BAE8-7BCDA71B8EDA}" name="Received by" dataDxfId="63"/>
    <tableColumn id="39" xr3:uid="{235562CF-6A9A-4746-83E2-347C5E553DED}" name="ORS No. (for GF)" dataDxfId="62"/>
    <tableColumn id="2" xr3:uid="{302BD9C5-C556-4FE7-956D-651ECD90F0F4}" name="Payee" dataDxfId="61"/>
    <tableColumn id="23" xr3:uid="{7AF02D2E-8E76-4995-A911-788422B36126}" name="Particulars" dataDxfId="60"/>
    <tableColumn id="22" xr3:uid="{C456E6C8-47E6-40E4-AFC4-54ADFF494839}" name="Gross Amount" dataDxfId="59" dataCellStyle="Comma"/>
    <tableColumn id="27" xr3:uid="{DED3BAA9-A2FE-47B8-9A69-844F42B0DBCB}" name="Status_Initial" dataDxfId="58"/>
    <tableColumn id="28" xr3:uid="{7C7C0BE9-7845-4F7D-9990-CC06C3C48F92}" name="Date Returned (if with pending)" dataDxfId="57"/>
    <tableColumn id="29" xr3:uid="{E1158CB9-A36A-4285-8E55-B4DDCBD01155}" name="Returned To (if with pending)" dataDxfId="56"/>
    <tableColumn id="30" xr3:uid="{E7B55458-D828-4B15-9BF0-1F72F4A75B1B}" name="Compliance Date" dataDxfId="55"/>
    <tableColumn id="34" xr3:uid="{7C9CEE28-2876-4A3C-BD61-4D3B15B87ED7}" name="DV No." dataDxfId="54"/>
    <tableColumn id="33" xr3:uid="{4E1C711D-DA7F-4BB9-87E0-56A2E06F7537}" name="DV Date" dataDxfId="53"/>
    <tableColumn id="32" xr3:uid="{6CFE2B5C-E4FE-4A70-9F2B-462AD852F729}" name="Status_Final" dataDxfId="52"/>
    <tableColumn id="36" xr3:uid="{AC15A490-E7C4-4994-A86C-E2FCD37CE294}" name="Date Returned (if with pending)2" dataDxfId="51"/>
    <tableColumn id="35" xr3:uid="{2FC3F52D-A9B1-4D2B-8FF2-4C2185D1E803}" name="Returned To (if with pending)3" dataDxfId="50"/>
    <tableColumn id="31" xr3:uid="{5B3E4EDC-9881-474C-B855-C1CFE773B940}" name="Compliance Date4" dataDxfId="49"/>
    <tableColumn id="3" xr3:uid="{7E496E8B-B248-4933-8CC4-52A6DF628A94}" name="Date_x000a_Released" dataDxfId="48"/>
    <tableColumn id="4" xr3:uid="{1C2FFB2F-E297-48AB-ABF4-609C13BBE7AB}" name="Released to" dataDxfId="47"/>
    <tableColumn id="40" xr3:uid="{7629041D-9512-4773-AD82-56658ABCEDD0}" name="Column1" dataDxfId="46">
      <calculatedColumnFormula>_xlfn.DAYS(GF_RS235[[#This Row],[Date
Released]],GF_RS235[[#This Row],[RS Date (Date Received)]])</calculatedColumnFormula>
    </tableColumn>
    <tableColumn id="37" xr3:uid="{D6890505-B304-4CDB-B1B9-C348DF5EF5D5}" name="Date_x000a_Received" dataDxfId="45"/>
    <tableColumn id="5" xr3:uid="{F5C36AB9-BCCD-497A-88E4-7AA8941C4AFF}" name="Received By5" dataDxfId="44"/>
    <tableColumn id="8" xr3:uid="{02FA7F45-9360-4043-ADBF-6F321F398A9B}" name="Date_x000a_Received6" dataDxfId="43"/>
    <tableColumn id="9" xr3:uid="{223E9FB8-303E-4B3C-96BB-EFB48AAF711A}" name="Received by7" dataDxfId="42"/>
    <tableColumn id="10" xr3:uid="{2BBF69D7-CCA1-4803-8743-96D4490F04BB}" name="Date_x000a_Received8" dataDxfId="41"/>
    <tableColumn id="11" xr3:uid="{48874C10-C0D5-4571-9A26-D85ED04F83EC}" name="Received by9" dataDxfId="40"/>
    <tableColumn id="12" xr3:uid="{32C9BEFA-0576-45C6-8D17-4BEA8F1A793C}" name="Status" dataDxfId="39"/>
    <tableColumn id="16" xr3:uid="{3E196B39-5546-4C9F-9A39-2896FA9FD3B2}" name="Date_x000a_Received10" dataDxfId="38"/>
    <tableColumn id="38" xr3:uid="{61915A27-6742-4A28-AF9E-372A600A0EFD}" name="Received by11" dataDxfId="37"/>
    <tableColumn id="17" xr3:uid="{0E93245E-8740-4F0A-A791-5EF1125CA1E6}" name="Status12" dataDxfId="36"/>
  </tableColumns>
  <tableStyleInfo name="TableStyleMedium2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4D4A3-CFE8-4783-873C-F9A4C653A11C}" name="GF_RS2356" displayName="GF_RS2356" ref="B5:AE10" totalsRowShown="0" headerRowDxfId="34" dataDxfId="33">
  <autoFilter ref="B5:AE10" xr:uid="{4E7B9F40-C583-4CB9-B620-AACD5178FAC0}"/>
  <tableColumns count="30">
    <tableColumn id="1" xr3:uid="{803434CE-C1A7-434E-9F90-3DCEBF9AA6E4}" name="Search RS No." dataDxfId="32">
      <calculatedColumnFormula>"CMDF Rev-IN"&amp;TEXT(MONTH(GF_RS2356[[#This Row],[RS Date (Date Received)]]),"00")&amp;"2024-"&amp;TEXT(ROW(A1),"0000")</calculatedColumnFormula>
    </tableColumn>
    <tableColumn id="25" xr3:uid="{7918BD0E-CEDF-41DD-BEA9-A34F41EFEC74}" name="RS Date (Date Received)" dataDxfId="0"/>
    <tableColumn id="26" xr3:uid="{ABDEC2C6-1E42-49FE-B738-912D43DA9300}" name="Received by" dataDxfId="31"/>
    <tableColumn id="39" xr3:uid="{1541FF76-8397-46EF-894A-8B800A3495A0}" name="ORS No. (for GF)" dataDxfId="30"/>
    <tableColumn id="2" xr3:uid="{5FBD49EB-710E-4F6C-86B3-5A91AEE2CB4F}" name="Payee" dataDxfId="29"/>
    <tableColumn id="23" xr3:uid="{F3AB5654-B7E4-43CB-874B-292E2F12E17D}" name="Particulars" dataDxfId="28"/>
    <tableColumn id="22" xr3:uid="{63629817-696A-4991-B829-8538354C2852}" name="Gross Amount" dataDxfId="27" dataCellStyle="Comma"/>
    <tableColumn id="27" xr3:uid="{394204C9-9A68-4F41-942F-A85A4FEE6BBE}" name="Status_Initial" dataDxfId="26"/>
    <tableColumn id="28" xr3:uid="{684007F9-C24A-415F-B7F9-D91434D56D57}" name="Date Returned (if with pending)" dataDxfId="25"/>
    <tableColumn id="29" xr3:uid="{AC692803-B17B-4A35-902D-81B5BFE38597}" name="Returned To (if with pending)" dataDxfId="24"/>
    <tableColumn id="30" xr3:uid="{7E4CFB50-D699-4EDB-B950-9044DA4D336B}" name="Compliance Date" dataDxfId="23"/>
    <tableColumn id="34" xr3:uid="{9435B534-AC29-4B84-947A-988385DD6A04}" name="DV No." dataDxfId="22"/>
    <tableColumn id="33" xr3:uid="{65A4AE7E-95C1-4BF6-8623-6BFB0E384F61}" name="DV Date" dataDxfId="21"/>
    <tableColumn id="32" xr3:uid="{519F378C-3B25-4820-A92E-EF9F4115B255}" name="Status_Final" dataDxfId="20"/>
    <tableColumn id="36" xr3:uid="{F3DA1B05-0C0E-43B8-9951-0077004B2D99}" name="Date Returned (if with pending)2" dataDxfId="19"/>
    <tableColumn id="35" xr3:uid="{ADCB5D25-EBBF-4367-869F-35DFE511DB72}" name="Returned To (if with pending)3" dataDxfId="18"/>
    <tableColumn id="31" xr3:uid="{B1B732BA-0E8D-4A0B-9E38-C6A46FB083C9}" name="Compliance Date4" dataDxfId="17"/>
    <tableColumn id="3" xr3:uid="{642FE37D-2F74-4C99-B958-1B83894A8C31}" name="Date_x000a_Released" dataDxfId="16"/>
    <tableColumn id="4" xr3:uid="{83410A64-AE25-447C-9B07-73DADAAF1977}" name="Released to" dataDxfId="15"/>
    <tableColumn id="40" xr3:uid="{6127E4BA-CAB0-4E3F-99BB-79357B38132C}" name="Column1" dataDxfId="14">
      <calculatedColumnFormula>_xlfn.DAYS(GF_RS2356[[#This Row],[Date
Released]],GF_RS2356[[#This Row],[RS Date (Date Received)]])</calculatedColumnFormula>
    </tableColumn>
    <tableColumn id="37" xr3:uid="{B0910467-DB25-45DB-BC1E-1E5922CAAC66}" name="Date_x000a_Received" dataDxfId="13"/>
    <tableColumn id="5" xr3:uid="{7CF70E3B-3DE0-48CD-B495-D9C46028389C}" name="Received By5" dataDxfId="12"/>
    <tableColumn id="8" xr3:uid="{0624BF90-8587-4C15-A29A-D075A332D283}" name="Date_x000a_Received6" dataDxfId="11"/>
    <tableColumn id="9" xr3:uid="{0AA99CF4-945C-48F3-BE18-DBE5F4BC3CF7}" name="Received by7" dataDxfId="10"/>
    <tableColumn id="10" xr3:uid="{1A1884AD-BA87-4D8E-BC7F-4793AC925714}" name="Date_x000a_Received8" dataDxfId="9"/>
    <tableColumn id="11" xr3:uid="{1DDA148B-3390-45C7-91C0-E52D6F42DBBA}" name="Received by9" dataDxfId="8"/>
    <tableColumn id="12" xr3:uid="{B222EA27-01D8-4E21-9B29-A66669F5CF30}" name="Status" dataDxfId="7"/>
    <tableColumn id="16" xr3:uid="{B4543AB7-C8DA-4222-973F-01EEB62E908B}" name="Date_x000a_Received10" dataDxfId="6"/>
    <tableColumn id="38" xr3:uid="{3ADDD9C2-7209-4D4C-899E-332948228690}" name="Received by11" dataDxfId="5"/>
    <tableColumn id="17" xr3:uid="{15A969FF-0D11-46CA-9CCA-B19B98149710}" name="Status12" dataDxfId="4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086F7-065B-4A7A-ADEA-59F0078DF63D}">
  <sheetPr codeName="Sheet3">
    <tabColor theme="7" tint="0.39997558519241921"/>
    <pageSetUpPr autoPageBreaks="0"/>
  </sheetPr>
  <dimension ref="A1:AH10"/>
  <sheetViews>
    <sheetView showGridLines="0" tabSelected="1" zoomScale="90" zoomScaleNormal="90" zoomScaleSheetLayoutView="75" workbookViewId="0">
      <pane ySplit="5" topLeftCell="A6" activePane="bottomLeft" state="frozen"/>
      <selection pane="bottomLeft" activeCell="G23" sqref="G23"/>
    </sheetView>
  </sheetViews>
  <sheetFormatPr defaultColWidth="9.140625" defaultRowHeight="15" outlineLevelCol="1" x14ac:dyDescent="0.25"/>
  <cols>
    <col min="1" max="1" width="12" style="90" customWidth="1"/>
    <col min="2" max="2" width="24.85546875" style="35" customWidth="1"/>
    <col min="3" max="3" width="12.85546875" style="67" customWidth="1"/>
    <col min="4" max="4" width="14.5703125" style="8" customWidth="1"/>
    <col min="5" max="5" width="14.7109375" style="35" customWidth="1"/>
    <col min="6" max="6" width="32.28515625" style="10" customWidth="1"/>
    <col min="7" max="7" width="54.140625" style="10" customWidth="1"/>
    <col min="8" max="8" width="15.140625" style="72" customWidth="1"/>
    <col min="9" max="9" width="34.42578125" style="10" customWidth="1"/>
    <col min="10" max="10" width="12.85546875" style="32" customWidth="1" outlineLevel="1"/>
    <col min="11" max="11" width="28.5703125" style="10" customWidth="1" outlineLevel="1"/>
    <col min="12" max="12" width="12.85546875" style="32" customWidth="1" outlineLevel="1"/>
    <col min="13" max="13" width="16.140625" style="9" customWidth="1"/>
    <col min="14" max="14" width="12.85546875" style="32" customWidth="1"/>
    <col min="15" max="15" width="34.42578125" style="10" customWidth="1"/>
    <col min="16" max="16" width="12.85546875" style="32" hidden="1" customWidth="1" outlineLevel="1"/>
    <col min="17" max="17" width="28.5703125" style="10" hidden="1" customWidth="1" outlineLevel="1"/>
    <col min="18" max="18" width="12.85546875" style="32" hidden="1" customWidth="1" outlineLevel="1"/>
    <col min="19" max="19" width="12.85546875" style="32" customWidth="1" collapsed="1"/>
    <col min="20" max="20" width="12.85546875" style="10" customWidth="1"/>
    <col min="21" max="21" width="12.5703125" style="9" customWidth="1"/>
    <col min="22" max="22" width="12.85546875" style="32" customWidth="1"/>
    <col min="23" max="23" width="28.5703125" style="9" customWidth="1"/>
    <col min="24" max="24" width="12.85546875" style="32" customWidth="1"/>
    <col min="25" max="25" width="28.5703125" style="10" customWidth="1"/>
    <col min="26" max="26" width="12.85546875" style="32" customWidth="1"/>
    <col min="27" max="27" width="28.5703125" style="10" customWidth="1"/>
    <col min="28" max="28" width="12.85546875" style="32" customWidth="1"/>
    <col min="29" max="29" width="28.5703125" style="10" customWidth="1"/>
    <col min="30" max="30" width="34.42578125" style="10" customWidth="1"/>
    <col min="31" max="31" width="12.85546875" style="32" customWidth="1"/>
    <col min="32" max="32" width="28.5703125" style="10" customWidth="1"/>
    <col min="33" max="33" width="34.28515625" style="10" customWidth="1"/>
    <col min="34" max="34" width="9.140625" style="63"/>
    <col min="35" max="16384" width="9.140625" style="42"/>
  </cols>
  <sheetData>
    <row r="1" spans="1:34" s="36" customFormat="1" ht="20.25" thickBot="1" x14ac:dyDescent="0.3">
      <c r="A1" s="89"/>
      <c r="B1" s="43"/>
      <c r="C1" s="45"/>
      <c r="D1" s="44"/>
      <c r="E1" s="43"/>
      <c r="F1" s="44"/>
      <c r="G1" s="44"/>
      <c r="H1" s="68"/>
      <c r="I1" s="44"/>
      <c r="J1" s="45"/>
      <c r="K1" s="44"/>
      <c r="L1" s="45"/>
      <c r="M1" s="43"/>
      <c r="N1" s="45"/>
      <c r="O1" s="44"/>
      <c r="P1" s="45"/>
      <c r="Q1" s="44"/>
      <c r="R1" s="45"/>
      <c r="S1" s="45"/>
      <c r="T1" s="44"/>
      <c r="U1" s="43"/>
      <c r="V1" s="45"/>
      <c r="W1" s="43"/>
      <c r="X1" s="45"/>
      <c r="Y1" s="44"/>
      <c r="Z1" s="45"/>
      <c r="AA1" s="44"/>
      <c r="AB1" s="45"/>
      <c r="AC1" s="44"/>
      <c r="AD1" s="44"/>
      <c r="AE1" s="45"/>
      <c r="AF1" s="44"/>
      <c r="AG1" s="44"/>
    </row>
    <row r="2" spans="1:34" s="36" customFormat="1" ht="65.25" customHeight="1" x14ac:dyDescent="0.25">
      <c r="A2" s="90"/>
      <c r="B2" s="117" t="s">
        <v>54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9"/>
      <c r="AH2" s="57"/>
    </row>
    <row r="3" spans="1:34" s="37" customFormat="1" ht="17.25" customHeight="1" x14ac:dyDescent="0.25">
      <c r="A3" s="91"/>
      <c r="B3" s="127" t="s">
        <v>17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9"/>
      <c r="V3" s="130" t="s">
        <v>46</v>
      </c>
      <c r="W3" s="131"/>
      <c r="X3" s="120" t="s">
        <v>79</v>
      </c>
      <c r="Y3" s="121"/>
      <c r="Z3" s="122" t="s">
        <v>80</v>
      </c>
      <c r="AA3" s="123"/>
      <c r="AB3" s="124" t="s">
        <v>16</v>
      </c>
      <c r="AC3" s="125"/>
      <c r="AD3" s="126"/>
      <c r="AE3" s="115" t="s">
        <v>17</v>
      </c>
      <c r="AF3" s="115"/>
      <c r="AG3" s="116"/>
      <c r="AH3" s="58"/>
    </row>
    <row r="4" spans="1:34" s="38" customFormat="1" ht="42" customHeight="1" x14ac:dyDescent="0.25">
      <c r="A4" s="55"/>
      <c r="B4" s="54" t="s">
        <v>14</v>
      </c>
      <c r="C4" s="64" t="s">
        <v>65</v>
      </c>
      <c r="D4" s="16" t="s">
        <v>66</v>
      </c>
      <c r="E4" s="16" t="s">
        <v>62</v>
      </c>
      <c r="F4" s="17" t="s">
        <v>60</v>
      </c>
      <c r="G4" s="17" t="s">
        <v>64</v>
      </c>
      <c r="H4" s="69" t="s">
        <v>63</v>
      </c>
      <c r="I4" s="17" t="s">
        <v>76</v>
      </c>
      <c r="J4" s="25" t="s">
        <v>71</v>
      </c>
      <c r="K4" s="18" t="s">
        <v>70</v>
      </c>
      <c r="L4" s="25" t="s">
        <v>103</v>
      </c>
      <c r="M4" s="17" t="s">
        <v>53</v>
      </c>
      <c r="N4" s="24" t="s">
        <v>75</v>
      </c>
      <c r="O4" s="17" t="s">
        <v>77</v>
      </c>
      <c r="P4" s="25" t="s">
        <v>71</v>
      </c>
      <c r="Q4" s="18" t="s">
        <v>70</v>
      </c>
      <c r="R4" s="25" t="s">
        <v>103</v>
      </c>
      <c r="S4" s="26" t="s">
        <v>59</v>
      </c>
      <c r="T4" s="19" t="s">
        <v>40</v>
      </c>
      <c r="U4" s="74" t="s">
        <v>112</v>
      </c>
      <c r="V4" s="113" t="s">
        <v>58</v>
      </c>
      <c r="W4" s="114" t="s">
        <v>39</v>
      </c>
      <c r="X4" s="27" t="s">
        <v>58</v>
      </c>
      <c r="Y4" s="12" t="s">
        <v>39</v>
      </c>
      <c r="Z4" s="28" t="s">
        <v>58</v>
      </c>
      <c r="AA4" s="13" t="s">
        <v>66</v>
      </c>
      <c r="AB4" s="29" t="s">
        <v>58</v>
      </c>
      <c r="AC4" s="14" t="s">
        <v>66</v>
      </c>
      <c r="AD4" s="15" t="s">
        <v>52</v>
      </c>
      <c r="AE4" s="30" t="s">
        <v>58</v>
      </c>
      <c r="AF4" s="11" t="s">
        <v>66</v>
      </c>
      <c r="AG4" s="56" t="s">
        <v>52</v>
      </c>
      <c r="AH4" s="59"/>
    </row>
    <row r="5" spans="1:34" s="39" customFormat="1" ht="8.25" customHeight="1" x14ac:dyDescent="0.25">
      <c r="A5" s="92"/>
      <c r="B5" s="46" t="s">
        <v>38</v>
      </c>
      <c r="C5" s="65" t="s">
        <v>65</v>
      </c>
      <c r="D5" s="47" t="s">
        <v>66</v>
      </c>
      <c r="E5" s="46" t="s">
        <v>86</v>
      </c>
      <c r="F5" s="48" t="s">
        <v>60</v>
      </c>
      <c r="G5" s="48" t="s">
        <v>64</v>
      </c>
      <c r="H5" s="70" t="s">
        <v>63</v>
      </c>
      <c r="I5" s="48" t="s">
        <v>76</v>
      </c>
      <c r="J5" s="49" t="s">
        <v>74</v>
      </c>
      <c r="K5" s="48" t="s">
        <v>72</v>
      </c>
      <c r="L5" s="49" t="s">
        <v>73</v>
      </c>
      <c r="M5" s="50" t="s">
        <v>53</v>
      </c>
      <c r="N5" s="49" t="s">
        <v>75</v>
      </c>
      <c r="O5" s="48" t="s">
        <v>77</v>
      </c>
      <c r="P5" s="49" t="s">
        <v>92</v>
      </c>
      <c r="Q5" s="48" t="s">
        <v>93</v>
      </c>
      <c r="R5" s="49" t="s">
        <v>94</v>
      </c>
      <c r="S5" s="51" t="s">
        <v>59</v>
      </c>
      <c r="T5" s="52" t="s">
        <v>40</v>
      </c>
      <c r="U5" s="73" t="s">
        <v>37</v>
      </c>
      <c r="V5" s="51" t="s">
        <v>130</v>
      </c>
      <c r="W5" s="73" t="s">
        <v>129</v>
      </c>
      <c r="X5" s="51" t="s">
        <v>58</v>
      </c>
      <c r="Y5" s="52" t="s">
        <v>95</v>
      </c>
      <c r="Z5" s="51" t="s">
        <v>96</v>
      </c>
      <c r="AA5" s="52" t="s">
        <v>97</v>
      </c>
      <c r="AB5" s="51" t="s">
        <v>98</v>
      </c>
      <c r="AC5" s="52" t="s">
        <v>99</v>
      </c>
      <c r="AD5" s="48" t="s">
        <v>52</v>
      </c>
      <c r="AE5" s="51" t="s">
        <v>100</v>
      </c>
      <c r="AF5" s="52" t="s">
        <v>101</v>
      </c>
      <c r="AG5" s="48" t="s">
        <v>102</v>
      </c>
      <c r="AH5" s="60"/>
    </row>
    <row r="6" spans="1:34" s="40" customFormat="1" ht="16.5" x14ac:dyDescent="0.25">
      <c r="A6" s="93" t="s">
        <v>117</v>
      </c>
      <c r="B6" s="34" t="str">
        <f>"GF-IN"&amp;TEXT(MONTH(GF_RS[[#This Row],[RS Date (Date Received)]]),"00")&amp;"2024-"&amp;TEXT(ROW(A1),"0000")</f>
        <v>GF-IN082024-0001</v>
      </c>
      <c r="C6" s="66">
        <v>45519</v>
      </c>
      <c r="D6" s="20" t="s">
        <v>109</v>
      </c>
      <c r="E6" s="34"/>
      <c r="F6" s="21"/>
      <c r="G6" s="22"/>
      <c r="H6" s="71"/>
      <c r="I6" s="22" t="s">
        <v>67</v>
      </c>
      <c r="J6" s="31"/>
      <c r="K6" s="21"/>
      <c r="L6" s="31"/>
      <c r="M6" s="33"/>
      <c r="N6" s="31"/>
      <c r="O6" s="22"/>
      <c r="P6" s="31">
        <v>45384</v>
      </c>
      <c r="Q6" s="21"/>
      <c r="R6" s="31">
        <v>45353</v>
      </c>
      <c r="S6" s="31"/>
      <c r="T6" s="21" t="s">
        <v>46</v>
      </c>
      <c r="U6" s="33">
        <f>_xlfn.DAYS(GF_RS[[#This Row],[Date
Released]],GF_RS[[#This Row],[RS Date (Date Received)]])</f>
        <v>-45519</v>
      </c>
      <c r="V6" s="31"/>
      <c r="W6" s="33"/>
      <c r="X6" s="31"/>
      <c r="Y6" s="21"/>
      <c r="Z6" s="31"/>
      <c r="AA6" s="21"/>
      <c r="AB6" s="31"/>
      <c r="AC6" s="53"/>
      <c r="AD6" s="22"/>
      <c r="AE6" s="31"/>
      <c r="AF6" s="53"/>
      <c r="AG6" s="21"/>
      <c r="AH6" s="61"/>
    </row>
    <row r="7" spans="1:34" s="41" customFormat="1" ht="16.5" x14ac:dyDescent="0.25">
      <c r="A7" s="93"/>
      <c r="B7" s="34" t="str">
        <f>"GF-IN"&amp;TEXT(MONTH(GF_RS[[#This Row],[RS Date (Date Received)]]),"00")&amp;"2024-"&amp;TEXT(ROW(A2),"0000")</f>
        <v>GF-IN082024-0002</v>
      </c>
      <c r="C7" s="66">
        <v>45519</v>
      </c>
      <c r="D7" s="20"/>
      <c r="E7" s="34"/>
      <c r="F7" s="21"/>
      <c r="G7" s="22"/>
      <c r="H7" s="71"/>
      <c r="I7" s="22" t="s">
        <v>67</v>
      </c>
      <c r="J7" s="31"/>
      <c r="K7" s="21"/>
      <c r="L7" s="31"/>
      <c r="M7" s="33"/>
      <c r="N7" s="31"/>
      <c r="O7" s="22"/>
      <c r="P7" s="31"/>
      <c r="Q7" s="21"/>
      <c r="R7" s="31"/>
      <c r="S7" s="31"/>
      <c r="T7" s="21" t="s">
        <v>46</v>
      </c>
      <c r="U7" s="33">
        <f>_xlfn.DAYS(GF_RS[[#This Row],[Date
Released]],GF_RS[[#This Row],[RS Date (Date Received)]])</f>
        <v>-45519</v>
      </c>
      <c r="V7" s="31"/>
      <c r="W7" s="33"/>
      <c r="X7" s="31"/>
      <c r="Y7" s="21"/>
      <c r="Z7" s="31"/>
      <c r="AA7" s="21"/>
      <c r="AB7" s="31"/>
      <c r="AC7" s="21"/>
      <c r="AD7" s="22"/>
      <c r="AE7" s="31"/>
      <c r="AF7" s="21"/>
      <c r="AG7" s="21"/>
      <c r="AH7" s="62"/>
    </row>
    <row r="8" spans="1:34" s="41" customFormat="1" ht="16.5" x14ac:dyDescent="0.25">
      <c r="A8" s="93"/>
      <c r="B8" s="34" t="str">
        <f>"GF-IN"&amp;TEXT(MONTH(GF_RS[[#This Row],[RS Date (Date Received)]]),"00")&amp;"2024-"&amp;TEXT(ROW(A3),"0000")</f>
        <v>GF-IN082024-0003</v>
      </c>
      <c r="C8" s="66">
        <v>45519</v>
      </c>
      <c r="D8" s="20"/>
      <c r="E8" s="34"/>
      <c r="F8" s="21"/>
      <c r="G8" s="22"/>
      <c r="H8" s="71"/>
      <c r="I8" s="22" t="s">
        <v>67</v>
      </c>
      <c r="J8" s="31"/>
      <c r="K8" s="21"/>
      <c r="L8" s="31"/>
      <c r="M8" s="33"/>
      <c r="N8" s="31"/>
      <c r="O8" s="22"/>
      <c r="P8" s="31"/>
      <c r="Q8" s="21"/>
      <c r="R8" s="31"/>
      <c r="S8" s="31"/>
      <c r="T8" s="21" t="s">
        <v>46</v>
      </c>
      <c r="U8" s="33">
        <f>_xlfn.DAYS(GF_RS[[#This Row],[Date
Released]],GF_RS[[#This Row],[RS Date (Date Received)]])</f>
        <v>-45519</v>
      </c>
      <c r="V8" s="31"/>
      <c r="W8" s="33"/>
      <c r="X8" s="31"/>
      <c r="Y8" s="21"/>
      <c r="Z8" s="31"/>
      <c r="AA8" s="21"/>
      <c r="AB8" s="31"/>
      <c r="AC8" s="21"/>
      <c r="AD8" s="22"/>
      <c r="AE8" s="31"/>
      <c r="AF8" s="23"/>
      <c r="AG8" s="21"/>
      <c r="AH8" s="62"/>
    </row>
    <row r="9" spans="1:34" s="41" customFormat="1" ht="16.5" x14ac:dyDescent="0.25">
      <c r="A9" s="93"/>
      <c r="B9" s="34" t="str">
        <f>"GF-IN"&amp;TEXT(MONTH(GF_RS[[#This Row],[RS Date (Date Received)]]),"00")&amp;"2024-"&amp;TEXT(ROW(A4),"0000")</f>
        <v>GF-IN082024-0004</v>
      </c>
      <c r="C9" s="66">
        <v>45519</v>
      </c>
      <c r="D9" s="20"/>
      <c r="E9" s="34"/>
      <c r="F9" s="21"/>
      <c r="G9" s="22"/>
      <c r="H9" s="71"/>
      <c r="I9" s="22" t="s">
        <v>67</v>
      </c>
      <c r="J9" s="31"/>
      <c r="K9" s="21"/>
      <c r="L9" s="31"/>
      <c r="M9" s="33"/>
      <c r="N9" s="31"/>
      <c r="O9" s="22"/>
      <c r="P9" s="31"/>
      <c r="Q9" s="21"/>
      <c r="R9" s="31"/>
      <c r="S9" s="31"/>
      <c r="T9" s="21" t="s">
        <v>46</v>
      </c>
      <c r="U9" s="33">
        <f>_xlfn.DAYS(GF_RS[[#This Row],[Date
Released]],GF_RS[[#This Row],[RS Date (Date Received)]])</f>
        <v>-45519</v>
      </c>
      <c r="V9" s="31"/>
      <c r="W9" s="33"/>
      <c r="X9" s="31"/>
      <c r="Y9" s="21"/>
      <c r="Z9" s="31"/>
      <c r="AA9" s="21"/>
      <c r="AB9" s="31"/>
      <c r="AC9" s="21"/>
      <c r="AD9" s="22"/>
      <c r="AE9" s="31"/>
      <c r="AF9" s="23"/>
      <c r="AG9" s="21"/>
      <c r="AH9" s="62"/>
    </row>
    <row r="10" spans="1:34" ht="16.5" x14ac:dyDescent="0.25">
      <c r="B10" s="34" t="str">
        <f>"GF-IN"&amp;TEXT(MONTH(GF_RS[[#This Row],[RS Date (Date Received)]]),"00")&amp;"2024-"&amp;TEXT(ROW(A5),"0000")</f>
        <v>GF-IN082024-0005</v>
      </c>
      <c r="C10" s="66">
        <v>45519</v>
      </c>
      <c r="D10" s="20"/>
      <c r="E10" s="34"/>
      <c r="F10" s="21"/>
      <c r="G10" s="22"/>
      <c r="H10" s="71"/>
      <c r="I10" s="22" t="s">
        <v>67</v>
      </c>
      <c r="J10" s="31"/>
      <c r="K10" s="21"/>
      <c r="L10" s="31"/>
      <c r="M10" s="33"/>
      <c r="N10" s="31"/>
      <c r="O10" s="22"/>
      <c r="P10" s="31"/>
      <c r="Q10" s="21"/>
      <c r="R10" s="31"/>
      <c r="S10" s="31"/>
      <c r="T10" s="21" t="s">
        <v>46</v>
      </c>
      <c r="U10" s="33">
        <f>_xlfn.DAYS(GF_RS[[#This Row],[Date
Released]],GF_RS[[#This Row],[RS Date (Date Received)]])</f>
        <v>-45519</v>
      </c>
      <c r="V10" s="31"/>
      <c r="W10" s="33"/>
      <c r="X10" s="31"/>
      <c r="Y10" s="21"/>
      <c r="Z10" s="31"/>
      <c r="AA10" s="21"/>
      <c r="AB10" s="31"/>
      <c r="AC10" s="21"/>
      <c r="AD10" s="22"/>
      <c r="AE10" s="31"/>
      <c r="AF10" s="23"/>
      <c r="AG10" s="21"/>
    </row>
  </sheetData>
  <mergeCells count="7">
    <mergeCell ref="AE3:AG3"/>
    <mergeCell ref="B2:AG2"/>
    <mergeCell ref="X3:Y3"/>
    <mergeCell ref="Z3:AA3"/>
    <mergeCell ref="AB3:AD3"/>
    <mergeCell ref="B3:U3"/>
    <mergeCell ref="V3:W3"/>
  </mergeCells>
  <phoneticPr fontId="9" type="noConversion"/>
  <conditionalFormatting sqref="U6:U1048576 U1:U3">
    <cfRule type="cellIs" dxfId="166" priority="1" operator="greaterThan">
      <formula>3</formula>
    </cfRule>
  </conditionalFormatting>
  <dataValidations count="2">
    <dataValidation type="list" allowBlank="1" showInputMessage="1" showErrorMessage="1" sqref="T6:T10" xr:uid="{6D496956-2855-4CC5-B2CB-DEF3D072619E}">
      <formula1>Division</formula1>
    </dataValidation>
    <dataValidation type="list" allowBlank="1" showInputMessage="1" showErrorMessage="1" sqref="D1:D2 D4:D1048576" xr:uid="{94C6ABD7-B1AB-4077-A96D-62FB1411C9A4}">
      <formula1>Accounting</formula1>
    </dataValidation>
  </dataValidations>
  <pageMargins left="0.7" right="0.7" top="0.75" bottom="0.75" header="0.3" footer="0.3"/>
  <pageSetup paperSize="9" scale="31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079" r:id="rId4" name="CommandButton1">
          <controlPr defaultSize="0" autoLine="0" autoPict="0" r:id="rId5">
            <anchor moveWithCells="1">
              <from>
                <xdr:col>0</xdr:col>
                <xdr:colOff>28575</xdr:colOff>
                <xdr:row>3</xdr:row>
                <xdr:rowOff>38100</xdr:rowOff>
              </from>
              <to>
                <xdr:col>0</xdr:col>
                <xdr:colOff>781050</xdr:colOff>
                <xdr:row>3</xdr:row>
                <xdr:rowOff>504825</xdr:rowOff>
              </to>
            </anchor>
          </controlPr>
        </control>
      </mc:Choice>
      <mc:Fallback>
        <control shapeId="207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B1CF87-E3E0-447A-B75E-33ACA197B6C8}">
          <x14:formula1>
            <xm:f>'List Options'!$I$2:$I$5</xm:f>
          </x14:formula1>
          <xm:sqref>I6:I10</xm:sqref>
        </x14:dataValidation>
        <x14:dataValidation type="list" allowBlank="1" showInputMessage="1" showErrorMessage="1" xr:uid="{ECC7F710-38B4-460A-A5AD-5926B5E8EFA0}">
          <x14:formula1>
            <xm:f>'List Options'!$J$2:$J$6</xm:f>
          </x14:formula1>
          <xm:sqref>O6:O10</xm:sqref>
        </x14:dataValidation>
        <x14:dataValidation type="list" allowBlank="1" showInputMessage="1" showErrorMessage="1" xr:uid="{699F060B-048D-4E25-B97F-B8C69ECDB684}">
          <x14:formula1>
            <xm:f>'List Options'!$K$2:$K$6</xm:f>
          </x14:formula1>
          <xm:sqref>AD6:AD10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1283F-1DF3-4B22-9A59-E395144438A1}">
  <sheetPr codeName="Sheet4">
    <tabColor theme="4" tint="0.39997558519241921"/>
    <pageSetUpPr autoPageBreaks="0"/>
  </sheetPr>
  <dimension ref="A1:AF10"/>
  <sheetViews>
    <sheetView showGridLines="0" zoomScale="90" zoomScaleNormal="90" zoomScaleSheetLayoutView="75" workbookViewId="0">
      <pane ySplit="5" topLeftCell="A6" activePane="bottomLeft" state="frozen"/>
      <selection pane="bottomLeft" activeCell="C6" sqref="C6"/>
    </sheetView>
  </sheetViews>
  <sheetFormatPr defaultColWidth="9.140625" defaultRowHeight="15" outlineLevelCol="1" x14ac:dyDescent="0.25"/>
  <cols>
    <col min="1" max="1" width="12" style="90" customWidth="1"/>
    <col min="2" max="2" width="24.85546875" style="35" customWidth="1"/>
    <col min="3" max="3" width="12.85546875" style="67" customWidth="1"/>
    <col min="4" max="4" width="14.5703125" style="8" customWidth="1"/>
    <col min="5" max="5" width="14.7109375" style="35" customWidth="1"/>
    <col min="6" max="6" width="32.28515625" style="10" customWidth="1"/>
    <col min="7" max="7" width="54.140625" style="10" customWidth="1"/>
    <col min="8" max="8" width="15.140625" style="72" customWidth="1"/>
    <col min="9" max="9" width="34.42578125" style="10" customWidth="1"/>
    <col min="10" max="10" width="12.85546875" style="32" hidden="1" customWidth="1" outlineLevel="1"/>
    <col min="11" max="11" width="28.5703125" style="10" hidden="1" customWidth="1" outlineLevel="1"/>
    <col min="12" max="12" width="12.85546875" style="32" hidden="1" customWidth="1" outlineLevel="1"/>
    <col min="13" max="13" width="16.140625" style="9" customWidth="1" collapsed="1"/>
    <col min="14" max="14" width="12.85546875" style="32" customWidth="1"/>
    <col min="15" max="15" width="34.42578125" style="10" customWidth="1"/>
    <col min="16" max="16" width="12.85546875" style="32" hidden="1" customWidth="1" outlineLevel="1"/>
    <col min="17" max="17" width="28.5703125" style="10" hidden="1" customWidth="1" outlineLevel="1"/>
    <col min="18" max="18" width="12.85546875" style="32" hidden="1" customWidth="1" outlineLevel="1"/>
    <col min="19" max="19" width="12.85546875" style="32" customWidth="1" collapsed="1"/>
    <col min="20" max="20" width="12.85546875" style="10" customWidth="1"/>
    <col min="21" max="21" width="12.5703125" style="9" customWidth="1"/>
    <col min="22" max="22" width="12.85546875" style="32" customWidth="1"/>
    <col min="23" max="23" width="28.5703125" style="10" customWidth="1"/>
    <col min="24" max="24" width="12.85546875" style="32" customWidth="1"/>
    <col min="25" max="25" width="28.5703125" style="10" customWidth="1"/>
    <col min="26" max="26" width="12.85546875" style="32" customWidth="1"/>
    <col min="27" max="27" width="28.5703125" style="10" customWidth="1"/>
    <col min="28" max="28" width="34.42578125" style="10" customWidth="1"/>
    <col min="29" max="29" width="12.85546875" style="32" customWidth="1"/>
    <col min="30" max="30" width="28.5703125" style="10" customWidth="1"/>
    <col min="31" max="31" width="34.28515625" style="10" customWidth="1"/>
    <col min="32" max="32" width="9.140625" style="63"/>
    <col min="33" max="16384" width="9.140625" style="42"/>
  </cols>
  <sheetData>
    <row r="1" spans="1:32" s="36" customFormat="1" ht="20.25" thickBot="1" x14ac:dyDescent="0.3">
      <c r="A1" s="89"/>
      <c r="B1" s="43"/>
      <c r="C1" s="45"/>
      <c r="D1" s="44"/>
      <c r="E1" s="43"/>
      <c r="F1" s="44"/>
      <c r="G1" s="44"/>
      <c r="H1" s="68"/>
      <c r="I1" s="44"/>
      <c r="J1" s="45"/>
      <c r="K1" s="44"/>
      <c r="L1" s="45"/>
      <c r="M1" s="43"/>
      <c r="N1" s="45"/>
      <c r="O1" s="44"/>
      <c r="P1" s="45"/>
      <c r="Q1" s="44"/>
      <c r="R1" s="45"/>
      <c r="S1" s="45"/>
      <c r="T1" s="44"/>
      <c r="U1" s="43"/>
      <c r="V1" s="45"/>
      <c r="W1" s="44"/>
      <c r="X1" s="45"/>
      <c r="Y1" s="44"/>
      <c r="Z1" s="45"/>
      <c r="AA1" s="44"/>
      <c r="AB1" s="44"/>
      <c r="AC1" s="45"/>
      <c r="AD1" s="44"/>
      <c r="AE1" s="44"/>
    </row>
    <row r="2" spans="1:32" s="36" customFormat="1" ht="65.25" customHeight="1" x14ac:dyDescent="0.25">
      <c r="A2" s="90"/>
      <c r="B2" s="117" t="s">
        <v>54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9"/>
      <c r="AF2" s="57"/>
    </row>
    <row r="3" spans="1:32" s="37" customFormat="1" ht="17.25" customHeight="1" x14ac:dyDescent="0.25">
      <c r="A3" s="91"/>
      <c r="B3" s="127" t="s">
        <v>17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9"/>
      <c r="V3" s="120" t="s">
        <v>79</v>
      </c>
      <c r="W3" s="121"/>
      <c r="X3" s="122" t="s">
        <v>80</v>
      </c>
      <c r="Y3" s="123"/>
      <c r="Z3" s="124" t="s">
        <v>16</v>
      </c>
      <c r="AA3" s="125"/>
      <c r="AB3" s="126"/>
      <c r="AC3" s="115" t="s">
        <v>17</v>
      </c>
      <c r="AD3" s="115"/>
      <c r="AE3" s="116"/>
      <c r="AF3" s="58"/>
    </row>
    <row r="4" spans="1:32" s="38" customFormat="1" ht="42" customHeight="1" x14ac:dyDescent="0.25">
      <c r="A4" s="55"/>
      <c r="B4" s="54" t="s">
        <v>14</v>
      </c>
      <c r="C4" s="64" t="s">
        <v>65</v>
      </c>
      <c r="D4" s="16" t="s">
        <v>66</v>
      </c>
      <c r="E4" s="16" t="s">
        <v>62</v>
      </c>
      <c r="F4" s="17" t="s">
        <v>60</v>
      </c>
      <c r="G4" s="17" t="s">
        <v>64</v>
      </c>
      <c r="H4" s="69" t="s">
        <v>63</v>
      </c>
      <c r="I4" s="17" t="s">
        <v>76</v>
      </c>
      <c r="J4" s="25" t="s">
        <v>71</v>
      </c>
      <c r="K4" s="18" t="s">
        <v>70</v>
      </c>
      <c r="L4" s="25" t="s">
        <v>103</v>
      </c>
      <c r="M4" s="17" t="s">
        <v>53</v>
      </c>
      <c r="N4" s="24" t="s">
        <v>75</v>
      </c>
      <c r="O4" s="17" t="s">
        <v>77</v>
      </c>
      <c r="P4" s="25" t="s">
        <v>71</v>
      </c>
      <c r="Q4" s="18" t="s">
        <v>70</v>
      </c>
      <c r="R4" s="25" t="s">
        <v>103</v>
      </c>
      <c r="S4" s="26" t="s">
        <v>59</v>
      </c>
      <c r="T4" s="19" t="s">
        <v>40</v>
      </c>
      <c r="U4" s="74" t="s">
        <v>112</v>
      </c>
      <c r="V4" s="27" t="s">
        <v>58</v>
      </c>
      <c r="W4" s="12" t="s">
        <v>39</v>
      </c>
      <c r="X4" s="28" t="s">
        <v>58</v>
      </c>
      <c r="Y4" s="13" t="s">
        <v>66</v>
      </c>
      <c r="Z4" s="29" t="s">
        <v>58</v>
      </c>
      <c r="AA4" s="14" t="s">
        <v>66</v>
      </c>
      <c r="AB4" s="15" t="s">
        <v>52</v>
      </c>
      <c r="AC4" s="30" t="s">
        <v>58</v>
      </c>
      <c r="AD4" s="11" t="s">
        <v>66</v>
      </c>
      <c r="AE4" s="56" t="s">
        <v>52</v>
      </c>
      <c r="AF4" s="59"/>
    </row>
    <row r="5" spans="1:32" s="39" customFormat="1" ht="8.25" customHeight="1" x14ac:dyDescent="0.25">
      <c r="A5" s="92"/>
      <c r="B5" s="46" t="s">
        <v>38</v>
      </c>
      <c r="C5" s="65" t="s">
        <v>65</v>
      </c>
      <c r="D5" s="47" t="s">
        <v>66</v>
      </c>
      <c r="E5" s="46" t="s">
        <v>86</v>
      </c>
      <c r="F5" s="48" t="s">
        <v>60</v>
      </c>
      <c r="G5" s="48" t="s">
        <v>64</v>
      </c>
      <c r="H5" s="70" t="s">
        <v>63</v>
      </c>
      <c r="I5" s="48" t="s">
        <v>76</v>
      </c>
      <c r="J5" s="49" t="s">
        <v>74</v>
      </c>
      <c r="K5" s="48" t="s">
        <v>72</v>
      </c>
      <c r="L5" s="49" t="s">
        <v>73</v>
      </c>
      <c r="M5" s="50" t="s">
        <v>53</v>
      </c>
      <c r="N5" s="49" t="s">
        <v>75</v>
      </c>
      <c r="O5" s="48" t="s">
        <v>77</v>
      </c>
      <c r="P5" s="49" t="s">
        <v>92</v>
      </c>
      <c r="Q5" s="48" t="s">
        <v>93</v>
      </c>
      <c r="R5" s="49" t="s">
        <v>94</v>
      </c>
      <c r="S5" s="51" t="s">
        <v>59</v>
      </c>
      <c r="T5" s="52" t="s">
        <v>40</v>
      </c>
      <c r="U5" s="73" t="s">
        <v>37</v>
      </c>
      <c r="V5" s="51" t="s">
        <v>58</v>
      </c>
      <c r="W5" s="52" t="s">
        <v>95</v>
      </c>
      <c r="X5" s="51" t="s">
        <v>96</v>
      </c>
      <c r="Y5" s="52" t="s">
        <v>97</v>
      </c>
      <c r="Z5" s="51" t="s">
        <v>98</v>
      </c>
      <c r="AA5" s="52" t="s">
        <v>99</v>
      </c>
      <c r="AB5" s="48" t="s">
        <v>52</v>
      </c>
      <c r="AC5" s="51" t="s">
        <v>100</v>
      </c>
      <c r="AD5" s="52" t="s">
        <v>101</v>
      </c>
      <c r="AE5" s="48" t="s">
        <v>102</v>
      </c>
      <c r="AF5" s="60"/>
    </row>
    <row r="6" spans="1:32" s="40" customFormat="1" ht="16.5" x14ac:dyDescent="0.25">
      <c r="A6" s="93"/>
      <c r="B6" s="34" t="str">
        <f>"CIAC-IN"&amp;TEXT(MONTH(GF_RS2[[#This Row],[RS Date (Date Received)]]),"00")&amp;"2024-"&amp;TEXT(ROW(A1),"0000")</f>
        <v>CIAC-IN082024-0001</v>
      </c>
      <c r="C6" s="66">
        <v>45519</v>
      </c>
      <c r="D6" s="20" t="s">
        <v>109</v>
      </c>
      <c r="E6" s="34"/>
      <c r="F6" s="21"/>
      <c r="G6" s="22"/>
      <c r="H6" s="71"/>
      <c r="I6" s="22" t="s">
        <v>67</v>
      </c>
      <c r="J6" s="31">
        <v>45414</v>
      </c>
      <c r="K6" s="21"/>
      <c r="L6" s="31">
        <v>45445</v>
      </c>
      <c r="M6" s="33"/>
      <c r="N6" s="31"/>
      <c r="O6" s="22"/>
      <c r="P6" s="31">
        <v>45384</v>
      </c>
      <c r="Q6" s="21"/>
      <c r="R6" s="31">
        <v>45353</v>
      </c>
      <c r="S6" s="31"/>
      <c r="T6" s="21" t="s">
        <v>20</v>
      </c>
      <c r="U6" s="33">
        <f>_xlfn.DAYS(GF_RS2[[#This Row],[Date
Released]],GF_RS2[[#This Row],[RS Date (Date Received)]])</f>
        <v>-45519</v>
      </c>
      <c r="V6" s="31"/>
      <c r="W6" s="21"/>
      <c r="X6" s="31"/>
      <c r="Y6" s="21"/>
      <c r="Z6" s="31"/>
      <c r="AA6" s="53"/>
      <c r="AB6" s="22"/>
      <c r="AC6" s="31"/>
      <c r="AD6" s="53"/>
      <c r="AE6" s="21"/>
      <c r="AF6" s="61"/>
    </row>
    <row r="7" spans="1:32" s="41" customFormat="1" ht="16.5" x14ac:dyDescent="0.25">
      <c r="A7" s="93"/>
      <c r="B7" s="34" t="str">
        <f>"CIAC-IN"&amp;TEXT(MONTH(GF_RS2[[#This Row],[RS Date (Date Received)]]),"00")&amp;"2024-"&amp;TEXT(ROW(A2),"0000")</f>
        <v>CIAC-IN082024-0002</v>
      </c>
      <c r="C7" s="66">
        <v>45519</v>
      </c>
      <c r="D7" s="20"/>
      <c r="E7" s="34"/>
      <c r="F7" s="21"/>
      <c r="G7" s="22"/>
      <c r="H7" s="71"/>
      <c r="I7" s="22" t="s">
        <v>67</v>
      </c>
      <c r="J7" s="31"/>
      <c r="K7" s="21"/>
      <c r="L7" s="31"/>
      <c r="M7" s="33"/>
      <c r="N7" s="31"/>
      <c r="O7" s="22"/>
      <c r="P7" s="31"/>
      <c r="Q7" s="21"/>
      <c r="R7" s="31"/>
      <c r="S7" s="31"/>
      <c r="T7" s="21" t="s">
        <v>20</v>
      </c>
      <c r="U7" s="33">
        <f>_xlfn.DAYS(GF_RS2[[#This Row],[Date
Released]],GF_RS2[[#This Row],[RS Date (Date Received)]])</f>
        <v>-45519</v>
      </c>
      <c r="V7" s="31"/>
      <c r="W7" s="21"/>
      <c r="X7" s="31"/>
      <c r="Y7" s="21"/>
      <c r="Z7" s="31"/>
      <c r="AA7" s="21"/>
      <c r="AB7" s="22"/>
      <c r="AC7" s="31"/>
      <c r="AD7" s="21"/>
      <c r="AE7" s="21"/>
      <c r="AF7" s="62"/>
    </row>
    <row r="8" spans="1:32" s="41" customFormat="1" ht="16.5" x14ac:dyDescent="0.25">
      <c r="A8" s="93"/>
      <c r="B8" s="34" t="str">
        <f>"CIAC-IN"&amp;TEXT(MONTH(GF_RS2[[#This Row],[RS Date (Date Received)]]),"00")&amp;"2024-"&amp;TEXT(ROW(A3),"0000")</f>
        <v>CIAC-IN082024-0003</v>
      </c>
      <c r="C8" s="66">
        <v>45519</v>
      </c>
      <c r="D8" s="20"/>
      <c r="E8" s="34"/>
      <c r="F8" s="21"/>
      <c r="G8" s="22"/>
      <c r="H8" s="71"/>
      <c r="I8" s="22" t="s">
        <v>67</v>
      </c>
      <c r="J8" s="31"/>
      <c r="K8" s="21"/>
      <c r="L8" s="31"/>
      <c r="M8" s="33"/>
      <c r="N8" s="31"/>
      <c r="O8" s="22"/>
      <c r="P8" s="31"/>
      <c r="Q8" s="21"/>
      <c r="R8" s="31"/>
      <c r="S8" s="31"/>
      <c r="T8" s="21" t="s">
        <v>20</v>
      </c>
      <c r="U8" s="33">
        <f>_xlfn.DAYS(GF_RS2[[#This Row],[Date
Released]],GF_RS2[[#This Row],[RS Date (Date Received)]])</f>
        <v>-45519</v>
      </c>
      <c r="V8" s="31"/>
      <c r="W8" s="21"/>
      <c r="X8" s="31"/>
      <c r="Y8" s="21"/>
      <c r="Z8" s="31"/>
      <c r="AA8" s="21"/>
      <c r="AB8" s="22"/>
      <c r="AC8" s="31"/>
      <c r="AD8" s="23"/>
      <c r="AE8" s="21"/>
      <c r="AF8" s="62"/>
    </row>
    <row r="9" spans="1:32" s="41" customFormat="1" ht="16.5" x14ac:dyDescent="0.25">
      <c r="A9" s="93"/>
      <c r="B9" s="34" t="str">
        <f>"CIAC-IN"&amp;TEXT(MONTH(GF_RS2[[#This Row],[RS Date (Date Received)]]),"00")&amp;"2024-"&amp;TEXT(ROW(A4),"0000")</f>
        <v>CIAC-IN082024-0004</v>
      </c>
      <c r="C9" s="66">
        <v>45519</v>
      </c>
      <c r="D9" s="20"/>
      <c r="E9" s="34"/>
      <c r="F9" s="21"/>
      <c r="G9" s="22"/>
      <c r="H9" s="71"/>
      <c r="I9" s="22" t="s">
        <v>67</v>
      </c>
      <c r="J9" s="31"/>
      <c r="K9" s="21"/>
      <c r="L9" s="31"/>
      <c r="M9" s="33"/>
      <c r="N9" s="31"/>
      <c r="O9" s="22"/>
      <c r="P9" s="31"/>
      <c r="Q9" s="21"/>
      <c r="R9" s="31"/>
      <c r="S9" s="31"/>
      <c r="T9" s="21" t="s">
        <v>20</v>
      </c>
      <c r="U9" s="33">
        <f>_xlfn.DAYS(GF_RS2[[#This Row],[Date
Released]],GF_RS2[[#This Row],[RS Date (Date Received)]])</f>
        <v>-45519</v>
      </c>
      <c r="V9" s="31"/>
      <c r="W9" s="21"/>
      <c r="X9" s="31"/>
      <c r="Y9" s="21"/>
      <c r="Z9" s="31"/>
      <c r="AA9" s="21"/>
      <c r="AB9" s="22"/>
      <c r="AC9" s="31"/>
      <c r="AD9" s="23"/>
      <c r="AE9" s="21"/>
      <c r="AF9" s="62"/>
    </row>
    <row r="10" spans="1:32" ht="16.5" x14ac:dyDescent="0.25">
      <c r="B10" s="34" t="str">
        <f>"CIAC-IN"&amp;TEXT(MONTH(GF_RS2[[#This Row],[RS Date (Date Received)]]),"00")&amp;"2024-"&amp;TEXT(ROW(A5),"0000")</f>
        <v>CIAC-IN082024-0005</v>
      </c>
      <c r="C10" s="66">
        <v>45519</v>
      </c>
      <c r="D10" s="20"/>
      <c r="E10" s="34"/>
      <c r="F10" s="21"/>
      <c r="G10" s="22"/>
      <c r="H10" s="71"/>
      <c r="I10" s="22" t="s">
        <v>67</v>
      </c>
      <c r="J10" s="31"/>
      <c r="K10" s="21"/>
      <c r="L10" s="31"/>
      <c r="M10" s="33"/>
      <c r="N10" s="31"/>
      <c r="O10" s="22"/>
      <c r="P10" s="31"/>
      <c r="Q10" s="21"/>
      <c r="R10" s="31"/>
      <c r="S10" s="31"/>
      <c r="T10" s="21" t="s">
        <v>20</v>
      </c>
      <c r="U10" s="33">
        <f>_xlfn.DAYS(GF_RS2[[#This Row],[Date
Released]],GF_RS2[[#This Row],[RS Date (Date Received)]])</f>
        <v>-45519</v>
      </c>
      <c r="V10" s="31"/>
      <c r="W10" s="21"/>
      <c r="X10" s="31"/>
      <c r="Y10" s="21"/>
      <c r="Z10" s="31"/>
      <c r="AA10" s="21"/>
      <c r="AB10" s="22"/>
      <c r="AC10" s="31"/>
      <c r="AD10" s="23"/>
      <c r="AE10" s="21"/>
    </row>
  </sheetData>
  <mergeCells count="6">
    <mergeCell ref="B2:AE2"/>
    <mergeCell ref="B3:U3"/>
    <mergeCell ref="V3:W3"/>
    <mergeCell ref="X3:Y3"/>
    <mergeCell ref="Z3:AB3"/>
    <mergeCell ref="AC3:AE3"/>
  </mergeCells>
  <conditionalFormatting sqref="U1:U3 U6:U1048576">
    <cfRule type="cellIs" dxfId="131" priority="1" operator="greaterThan">
      <formula>3</formula>
    </cfRule>
  </conditionalFormatting>
  <dataValidations count="3">
    <dataValidation type="list" allowBlank="1" showInputMessage="1" showErrorMessage="1" sqref="W6:W10" xr:uid="{743DCFFE-FE5C-45FB-A7F9-16F29923E826}">
      <formula1>INDIRECT(T6)</formula1>
    </dataValidation>
    <dataValidation type="list" allowBlank="1" showInputMessage="1" showErrorMessage="1" sqref="D1:D2 D4:D1048576" xr:uid="{10A43629-1C9F-4BFE-971C-B49A8F95A66E}">
      <formula1>Accounting</formula1>
    </dataValidation>
    <dataValidation type="list" allowBlank="1" showInputMessage="1" showErrorMessage="1" sqref="T6:T10" xr:uid="{39A9CCD0-011D-4484-B6B9-509329E88A04}">
      <formula1>Division</formula1>
    </dataValidation>
  </dataValidations>
  <pageMargins left="0.7" right="0.7" top="0.75" bottom="0.75" header="0.3" footer="0.3"/>
  <pageSetup paperSize="9" scale="31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28575</xdr:colOff>
                <xdr:row>3</xdr:row>
                <xdr:rowOff>38100</xdr:rowOff>
              </from>
              <to>
                <xdr:col>0</xdr:col>
                <xdr:colOff>781050</xdr:colOff>
                <xdr:row>3</xdr:row>
                <xdr:rowOff>504825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23B632F-ABC5-4A3D-836F-AC76231EC32A}">
          <x14:formula1>
            <xm:f>'List Options'!$K$2:$K$6</xm:f>
          </x14:formula1>
          <xm:sqref>AB6:AB10</xm:sqref>
        </x14:dataValidation>
        <x14:dataValidation type="list" allowBlank="1" showInputMessage="1" showErrorMessage="1" xr:uid="{DFAEF330-042D-4EB6-B65E-F55E0261998F}">
          <x14:formula1>
            <xm:f>'List Options'!$J$2:$J$6</xm:f>
          </x14:formula1>
          <xm:sqref>O6:O10</xm:sqref>
        </x14:dataValidation>
        <x14:dataValidation type="list" allowBlank="1" showInputMessage="1" showErrorMessage="1" xr:uid="{904DD869-49B6-422D-9B55-B189E879A6D8}">
          <x14:formula1>
            <xm:f>'List Options'!$I$2:$I$5</xm:f>
          </x14:formula1>
          <xm:sqref>I6:I10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77854-B032-4BDD-8B83-E7140A946316}">
  <sheetPr codeName="Sheet6">
    <tabColor theme="9" tint="0.39997558519241921"/>
    <pageSetUpPr autoPageBreaks="0"/>
  </sheetPr>
  <dimension ref="A1:AF10"/>
  <sheetViews>
    <sheetView showGridLines="0" zoomScale="90" zoomScaleNormal="90" zoomScaleSheetLayoutView="75" workbookViewId="0">
      <pane ySplit="5" topLeftCell="A6" activePane="bottomLeft" state="frozen"/>
      <selection pane="bottomLeft" activeCell="C6" sqref="C6:C10"/>
    </sheetView>
  </sheetViews>
  <sheetFormatPr defaultColWidth="9.140625" defaultRowHeight="15" outlineLevelCol="1" x14ac:dyDescent="0.25"/>
  <cols>
    <col min="1" max="1" width="12" style="90" customWidth="1"/>
    <col min="2" max="2" width="24.85546875" style="35" customWidth="1"/>
    <col min="3" max="3" width="12.85546875" style="67" customWidth="1"/>
    <col min="4" max="4" width="14.5703125" style="8" customWidth="1"/>
    <col min="5" max="5" width="14.7109375" style="35" customWidth="1"/>
    <col min="6" max="6" width="32.28515625" style="10" customWidth="1"/>
    <col min="7" max="7" width="54.140625" style="10" customWidth="1"/>
    <col min="8" max="8" width="15.140625" style="72" customWidth="1"/>
    <col min="9" max="9" width="34.42578125" style="10" customWidth="1"/>
    <col min="10" max="10" width="12.85546875" style="32" hidden="1" customWidth="1" outlineLevel="1"/>
    <col min="11" max="11" width="28.5703125" style="10" hidden="1" customWidth="1" outlineLevel="1"/>
    <col min="12" max="12" width="12.85546875" style="32" hidden="1" customWidth="1" outlineLevel="1"/>
    <col min="13" max="13" width="16.140625" style="9" customWidth="1" collapsed="1"/>
    <col min="14" max="14" width="12.85546875" style="32" customWidth="1"/>
    <col min="15" max="15" width="34.42578125" style="10" customWidth="1"/>
    <col min="16" max="16" width="12.85546875" style="32" hidden="1" customWidth="1" outlineLevel="1"/>
    <col min="17" max="17" width="28.5703125" style="10" hidden="1" customWidth="1" outlineLevel="1"/>
    <col min="18" max="18" width="12.85546875" style="32" hidden="1" customWidth="1" outlineLevel="1"/>
    <col min="19" max="19" width="12.85546875" style="32" customWidth="1" collapsed="1"/>
    <col min="20" max="20" width="12.85546875" style="10" customWidth="1"/>
    <col min="21" max="21" width="12.5703125" style="9" customWidth="1"/>
    <col min="22" max="22" width="12.85546875" style="32" customWidth="1"/>
    <col min="23" max="23" width="28.5703125" style="10" customWidth="1"/>
    <col min="24" max="24" width="12.85546875" style="32" customWidth="1"/>
    <col min="25" max="25" width="28.5703125" style="10" customWidth="1"/>
    <col min="26" max="26" width="12.85546875" style="32" customWidth="1"/>
    <col min="27" max="27" width="28.5703125" style="10" customWidth="1"/>
    <col min="28" max="28" width="34.42578125" style="10" customWidth="1"/>
    <col min="29" max="29" width="12.85546875" style="32" customWidth="1"/>
    <col min="30" max="30" width="28.5703125" style="10" customWidth="1"/>
    <col min="31" max="31" width="34.28515625" style="10" customWidth="1"/>
    <col min="32" max="32" width="9.140625" style="63"/>
    <col min="33" max="16384" width="9.140625" style="42"/>
  </cols>
  <sheetData>
    <row r="1" spans="1:32" s="36" customFormat="1" ht="20.25" thickBot="1" x14ac:dyDescent="0.3">
      <c r="A1" s="89"/>
      <c r="B1" s="43"/>
      <c r="C1" s="45"/>
      <c r="D1" s="44"/>
      <c r="E1" s="43"/>
      <c r="F1" s="44"/>
      <c r="G1" s="44"/>
      <c r="H1" s="68"/>
      <c r="I1" s="44"/>
      <c r="J1" s="45"/>
      <c r="K1" s="44"/>
      <c r="L1" s="45"/>
      <c r="M1" s="43"/>
      <c r="N1" s="45"/>
      <c r="O1" s="44"/>
      <c r="P1" s="45"/>
      <c r="Q1" s="44"/>
      <c r="R1" s="45"/>
      <c r="S1" s="45"/>
      <c r="T1" s="44"/>
      <c r="U1" s="43"/>
      <c r="V1" s="45"/>
      <c r="W1" s="44"/>
      <c r="X1" s="45"/>
      <c r="Y1" s="44"/>
      <c r="Z1" s="45"/>
      <c r="AA1" s="44"/>
      <c r="AB1" s="44"/>
      <c r="AC1" s="45"/>
      <c r="AD1" s="44"/>
      <c r="AE1" s="44"/>
    </row>
    <row r="2" spans="1:32" s="36" customFormat="1" ht="65.25" customHeight="1" x14ac:dyDescent="0.25">
      <c r="A2" s="90"/>
      <c r="B2" s="117" t="s">
        <v>54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9"/>
      <c r="AF2" s="57"/>
    </row>
    <row r="3" spans="1:32" s="37" customFormat="1" ht="17.25" customHeight="1" x14ac:dyDescent="0.25">
      <c r="A3" s="91"/>
      <c r="B3" s="127" t="s">
        <v>17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9"/>
      <c r="V3" s="120" t="s">
        <v>79</v>
      </c>
      <c r="W3" s="121"/>
      <c r="X3" s="122" t="s">
        <v>80</v>
      </c>
      <c r="Y3" s="123"/>
      <c r="Z3" s="124" t="s">
        <v>16</v>
      </c>
      <c r="AA3" s="125"/>
      <c r="AB3" s="126"/>
      <c r="AC3" s="115" t="s">
        <v>17</v>
      </c>
      <c r="AD3" s="115"/>
      <c r="AE3" s="116"/>
      <c r="AF3" s="58"/>
    </row>
    <row r="4" spans="1:32" s="38" customFormat="1" ht="42" customHeight="1" x14ac:dyDescent="0.25">
      <c r="A4" s="55"/>
      <c r="B4" s="54" t="s">
        <v>14</v>
      </c>
      <c r="C4" s="64" t="s">
        <v>65</v>
      </c>
      <c r="D4" s="16" t="s">
        <v>66</v>
      </c>
      <c r="E4" s="16" t="s">
        <v>62</v>
      </c>
      <c r="F4" s="17" t="s">
        <v>60</v>
      </c>
      <c r="G4" s="17" t="s">
        <v>64</v>
      </c>
      <c r="H4" s="69" t="s">
        <v>63</v>
      </c>
      <c r="I4" s="17" t="s">
        <v>76</v>
      </c>
      <c r="J4" s="25" t="s">
        <v>71</v>
      </c>
      <c r="K4" s="18" t="s">
        <v>70</v>
      </c>
      <c r="L4" s="25" t="s">
        <v>103</v>
      </c>
      <c r="M4" s="17" t="s">
        <v>53</v>
      </c>
      <c r="N4" s="24" t="s">
        <v>75</v>
      </c>
      <c r="O4" s="17" t="s">
        <v>77</v>
      </c>
      <c r="P4" s="25" t="s">
        <v>71</v>
      </c>
      <c r="Q4" s="18" t="s">
        <v>70</v>
      </c>
      <c r="R4" s="25" t="s">
        <v>103</v>
      </c>
      <c r="S4" s="26" t="s">
        <v>59</v>
      </c>
      <c r="T4" s="19" t="s">
        <v>40</v>
      </c>
      <c r="U4" s="74" t="s">
        <v>112</v>
      </c>
      <c r="V4" s="27" t="s">
        <v>58</v>
      </c>
      <c r="W4" s="12" t="s">
        <v>39</v>
      </c>
      <c r="X4" s="28" t="s">
        <v>58</v>
      </c>
      <c r="Y4" s="13" t="s">
        <v>66</v>
      </c>
      <c r="Z4" s="29" t="s">
        <v>58</v>
      </c>
      <c r="AA4" s="14" t="s">
        <v>66</v>
      </c>
      <c r="AB4" s="15" t="s">
        <v>52</v>
      </c>
      <c r="AC4" s="30" t="s">
        <v>58</v>
      </c>
      <c r="AD4" s="11" t="s">
        <v>66</v>
      </c>
      <c r="AE4" s="56" t="s">
        <v>52</v>
      </c>
      <c r="AF4" s="59"/>
    </row>
    <row r="5" spans="1:32" s="39" customFormat="1" ht="8.25" customHeight="1" x14ac:dyDescent="0.25">
      <c r="A5" s="92"/>
      <c r="B5" s="46" t="s">
        <v>38</v>
      </c>
      <c r="C5" s="65" t="s">
        <v>65</v>
      </c>
      <c r="D5" s="47" t="s">
        <v>66</v>
      </c>
      <c r="E5" s="46" t="s">
        <v>86</v>
      </c>
      <c r="F5" s="48" t="s">
        <v>60</v>
      </c>
      <c r="G5" s="48" t="s">
        <v>64</v>
      </c>
      <c r="H5" s="70" t="s">
        <v>63</v>
      </c>
      <c r="I5" s="48" t="s">
        <v>76</v>
      </c>
      <c r="J5" s="49" t="s">
        <v>74</v>
      </c>
      <c r="K5" s="48" t="s">
        <v>72</v>
      </c>
      <c r="L5" s="49" t="s">
        <v>73</v>
      </c>
      <c r="M5" s="50" t="s">
        <v>53</v>
      </c>
      <c r="N5" s="49" t="s">
        <v>75</v>
      </c>
      <c r="O5" s="48" t="s">
        <v>77</v>
      </c>
      <c r="P5" s="49" t="s">
        <v>92</v>
      </c>
      <c r="Q5" s="48" t="s">
        <v>93</v>
      </c>
      <c r="R5" s="49" t="s">
        <v>94</v>
      </c>
      <c r="S5" s="51" t="s">
        <v>59</v>
      </c>
      <c r="T5" s="52" t="s">
        <v>40</v>
      </c>
      <c r="U5" s="73" t="s">
        <v>37</v>
      </c>
      <c r="V5" s="51" t="s">
        <v>58</v>
      </c>
      <c r="W5" s="52" t="s">
        <v>95</v>
      </c>
      <c r="X5" s="51" t="s">
        <v>96</v>
      </c>
      <c r="Y5" s="52" t="s">
        <v>97</v>
      </c>
      <c r="Z5" s="51" t="s">
        <v>98</v>
      </c>
      <c r="AA5" s="52" t="s">
        <v>99</v>
      </c>
      <c r="AB5" s="48" t="s">
        <v>52</v>
      </c>
      <c r="AC5" s="51" t="s">
        <v>100</v>
      </c>
      <c r="AD5" s="52" t="s">
        <v>101</v>
      </c>
      <c r="AE5" s="48" t="s">
        <v>102</v>
      </c>
      <c r="AF5" s="60"/>
    </row>
    <row r="6" spans="1:32" s="40" customFormat="1" ht="16.5" x14ac:dyDescent="0.25">
      <c r="A6" s="93"/>
      <c r="B6" s="34" t="str">
        <f>"PCAB-IN"&amp;TEXT(MONTH(GF_RS23[[#This Row],[RS Date (Date Received)]]),"00")&amp;"2024-"&amp;TEXT(ROW(A1),"0000")</f>
        <v>PCAB-IN082024-0001</v>
      </c>
      <c r="C6" s="66">
        <v>45519</v>
      </c>
      <c r="D6" s="20" t="s">
        <v>109</v>
      </c>
      <c r="E6" s="34"/>
      <c r="F6" s="21"/>
      <c r="G6" s="22"/>
      <c r="H6" s="71">
        <v>1</v>
      </c>
      <c r="I6" s="22" t="s">
        <v>67</v>
      </c>
      <c r="J6" s="31">
        <v>45414</v>
      </c>
      <c r="K6" s="21"/>
      <c r="L6" s="31">
        <v>45445</v>
      </c>
      <c r="M6" s="33"/>
      <c r="N6" s="31"/>
      <c r="O6" s="22"/>
      <c r="P6" s="31">
        <v>45384</v>
      </c>
      <c r="Q6" s="21"/>
      <c r="R6" s="31">
        <v>45353</v>
      </c>
      <c r="S6" s="31"/>
      <c r="T6" s="21" t="s">
        <v>21</v>
      </c>
      <c r="U6" s="33">
        <f>_xlfn.DAYS(GF_RS23[[#This Row],[Date
Released]],GF_RS23[[#This Row],[RS Date (Date Received)]])</f>
        <v>-45519</v>
      </c>
      <c r="V6" s="31"/>
      <c r="W6" s="21"/>
      <c r="X6" s="31"/>
      <c r="Y6" s="21"/>
      <c r="Z6" s="31"/>
      <c r="AA6" s="53"/>
      <c r="AB6" s="22"/>
      <c r="AC6" s="31"/>
      <c r="AD6" s="53"/>
      <c r="AE6" s="21"/>
      <c r="AF6" s="61"/>
    </row>
    <row r="7" spans="1:32" s="41" customFormat="1" ht="16.5" x14ac:dyDescent="0.25">
      <c r="A7" s="93"/>
      <c r="B7" s="34" t="str">
        <f>"PCAB-IN"&amp;TEXT(MONTH(GF_RS23[[#This Row],[RS Date (Date Received)]]),"00")&amp;"2024-"&amp;TEXT(ROW(A2),"0000")</f>
        <v>PCAB-IN082024-0002</v>
      </c>
      <c r="C7" s="66">
        <v>45519</v>
      </c>
      <c r="D7" s="20"/>
      <c r="E7" s="34"/>
      <c r="F7" s="21"/>
      <c r="G7" s="22"/>
      <c r="H7" s="71">
        <v>2</v>
      </c>
      <c r="I7" s="22" t="s">
        <v>67</v>
      </c>
      <c r="J7" s="31"/>
      <c r="K7" s="21"/>
      <c r="L7" s="31"/>
      <c r="M7" s="33"/>
      <c r="N7" s="31"/>
      <c r="O7" s="22"/>
      <c r="P7" s="31"/>
      <c r="Q7" s="21"/>
      <c r="R7" s="31"/>
      <c r="S7" s="31"/>
      <c r="T7" s="21" t="s">
        <v>21</v>
      </c>
      <c r="U7" s="33">
        <f>_xlfn.DAYS(GF_RS23[[#This Row],[Date
Released]],GF_RS23[[#This Row],[RS Date (Date Received)]])</f>
        <v>-45519</v>
      </c>
      <c r="V7" s="31"/>
      <c r="W7" s="21"/>
      <c r="X7" s="31"/>
      <c r="Y7" s="21"/>
      <c r="Z7" s="31"/>
      <c r="AA7" s="21"/>
      <c r="AB7" s="22"/>
      <c r="AC7" s="31"/>
      <c r="AD7" s="21"/>
      <c r="AE7" s="21"/>
      <c r="AF7" s="62"/>
    </row>
    <row r="8" spans="1:32" s="41" customFormat="1" ht="16.5" x14ac:dyDescent="0.25">
      <c r="A8" s="93" t="s">
        <v>117</v>
      </c>
      <c r="B8" s="34" t="str">
        <f>"PCAB-IN"&amp;TEXT(MONTH(GF_RS23[[#This Row],[RS Date (Date Received)]]),"00")&amp;"2024-"&amp;TEXT(ROW(A3),"0000")</f>
        <v>PCAB-IN082024-0003</v>
      </c>
      <c r="C8" s="66">
        <v>45519</v>
      </c>
      <c r="D8" s="20"/>
      <c r="E8" s="34"/>
      <c r="F8" s="21"/>
      <c r="G8" s="22"/>
      <c r="H8" s="71">
        <v>3</v>
      </c>
      <c r="I8" s="22" t="s">
        <v>67</v>
      </c>
      <c r="J8" s="31"/>
      <c r="K8" s="21"/>
      <c r="L8" s="31"/>
      <c r="M8" s="33"/>
      <c r="N8" s="31"/>
      <c r="O8" s="22"/>
      <c r="P8" s="31"/>
      <c r="Q8" s="21"/>
      <c r="R8" s="31"/>
      <c r="S8" s="31"/>
      <c r="T8" s="21" t="s">
        <v>21</v>
      </c>
      <c r="U8" s="33">
        <f>_xlfn.DAYS(GF_RS23[[#This Row],[Date
Released]],GF_RS23[[#This Row],[RS Date (Date Received)]])</f>
        <v>-45519</v>
      </c>
      <c r="V8" s="31"/>
      <c r="W8" s="21"/>
      <c r="X8" s="31"/>
      <c r="Y8" s="21"/>
      <c r="Z8" s="31"/>
      <c r="AA8" s="21"/>
      <c r="AB8" s="22"/>
      <c r="AC8" s="31"/>
      <c r="AD8" s="23"/>
      <c r="AE8" s="21"/>
      <c r="AF8" s="62"/>
    </row>
    <row r="9" spans="1:32" s="41" customFormat="1" ht="16.5" x14ac:dyDescent="0.25">
      <c r="A9" s="93"/>
      <c r="B9" s="34" t="str">
        <f>"PCAB-IN"&amp;TEXT(MONTH(GF_RS23[[#This Row],[RS Date (Date Received)]]),"00")&amp;"2024-"&amp;TEXT(ROW(A4),"0000")</f>
        <v>PCAB-IN082024-0004</v>
      </c>
      <c r="C9" s="66">
        <v>45519</v>
      </c>
      <c r="D9" s="20"/>
      <c r="E9" s="34"/>
      <c r="F9" s="21"/>
      <c r="G9" s="22"/>
      <c r="H9" s="71">
        <v>4</v>
      </c>
      <c r="I9" s="22" t="s">
        <v>67</v>
      </c>
      <c r="J9" s="31"/>
      <c r="K9" s="21"/>
      <c r="L9" s="31"/>
      <c r="M9" s="33"/>
      <c r="N9" s="31"/>
      <c r="O9" s="22"/>
      <c r="P9" s="31"/>
      <c r="Q9" s="21"/>
      <c r="R9" s="31"/>
      <c r="S9" s="31"/>
      <c r="T9" s="21" t="s">
        <v>21</v>
      </c>
      <c r="U9" s="33">
        <f>_xlfn.DAYS(GF_RS23[[#This Row],[Date
Released]],GF_RS23[[#This Row],[RS Date (Date Received)]])</f>
        <v>-45519</v>
      </c>
      <c r="V9" s="31"/>
      <c r="W9" s="21"/>
      <c r="X9" s="31"/>
      <c r="Y9" s="21"/>
      <c r="Z9" s="31"/>
      <c r="AA9" s="21"/>
      <c r="AB9" s="22"/>
      <c r="AC9" s="31"/>
      <c r="AD9" s="23"/>
      <c r="AE9" s="21"/>
      <c r="AF9" s="62"/>
    </row>
    <row r="10" spans="1:32" ht="16.5" x14ac:dyDescent="0.25">
      <c r="B10" s="34" t="str">
        <f>"PCAB-IN"&amp;TEXT(MONTH(GF_RS23[[#This Row],[RS Date (Date Received)]]),"00")&amp;"2024-"&amp;TEXT(ROW(A5),"0000")</f>
        <v>PCAB-IN082024-0005</v>
      </c>
      <c r="C10" s="66">
        <v>45519</v>
      </c>
      <c r="D10" s="20"/>
      <c r="E10" s="34"/>
      <c r="F10" s="21"/>
      <c r="G10" s="22"/>
      <c r="H10" s="71">
        <v>5</v>
      </c>
      <c r="I10" s="22" t="s">
        <v>67</v>
      </c>
      <c r="J10" s="31"/>
      <c r="K10" s="21"/>
      <c r="L10" s="31"/>
      <c r="M10" s="33"/>
      <c r="N10" s="31"/>
      <c r="O10" s="22"/>
      <c r="P10" s="31"/>
      <c r="Q10" s="21"/>
      <c r="R10" s="31"/>
      <c r="S10" s="31"/>
      <c r="T10" s="21" t="s">
        <v>21</v>
      </c>
      <c r="U10" s="33">
        <f>_xlfn.DAYS(GF_RS23[[#This Row],[Date
Released]],GF_RS23[[#This Row],[RS Date (Date Received)]])</f>
        <v>-45519</v>
      </c>
      <c r="V10" s="31"/>
      <c r="W10" s="21"/>
      <c r="X10" s="31"/>
      <c r="Y10" s="21"/>
      <c r="Z10" s="31"/>
      <c r="AA10" s="21"/>
      <c r="AB10" s="22"/>
      <c r="AC10" s="31"/>
      <c r="AD10" s="23"/>
      <c r="AE10" s="21"/>
    </row>
  </sheetData>
  <mergeCells count="6">
    <mergeCell ref="B2:AE2"/>
    <mergeCell ref="B3:U3"/>
    <mergeCell ref="V3:W3"/>
    <mergeCell ref="X3:Y3"/>
    <mergeCell ref="Z3:AB3"/>
    <mergeCell ref="AC3:AE3"/>
  </mergeCells>
  <conditionalFormatting sqref="U1:U3 U6:U1048576">
    <cfRule type="cellIs" dxfId="99" priority="1" operator="greaterThan">
      <formula>3</formula>
    </cfRule>
  </conditionalFormatting>
  <dataValidations count="3">
    <dataValidation type="list" allowBlank="1" showInputMessage="1" showErrorMessage="1" sqref="T6:T10" xr:uid="{B2AAE83C-3CCA-4F6C-A42D-1E5019953744}">
      <formula1>Division</formula1>
    </dataValidation>
    <dataValidation type="list" allowBlank="1" showInputMessage="1" showErrorMessage="1" sqref="D1:D2 D4:D1048576" xr:uid="{2FBA7F18-F0CD-4774-8319-8334EDA193FF}">
      <formula1>Accounting</formula1>
    </dataValidation>
    <dataValidation type="list" allowBlank="1" showInputMessage="1" showErrorMessage="1" sqref="W6:W10" xr:uid="{0B5D1FFD-E0D5-4A74-873A-00F403F5AA59}">
      <formula1>INDIRECT(T6)</formula1>
    </dataValidation>
  </dataValidations>
  <pageMargins left="0.7" right="0.7" top="0.75" bottom="0.75" header="0.3" footer="0.3"/>
  <pageSetup paperSize="9" scale="31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0</xdr:col>
                <xdr:colOff>28575</xdr:colOff>
                <xdr:row>3</xdr:row>
                <xdr:rowOff>38100</xdr:rowOff>
              </from>
              <to>
                <xdr:col>0</xdr:col>
                <xdr:colOff>781050</xdr:colOff>
                <xdr:row>3</xdr:row>
                <xdr:rowOff>504825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66AF3B-A2F7-47CD-992A-D6CAC5AFC683}">
          <x14:formula1>
            <xm:f>'List Options'!$I$2:$I$5</xm:f>
          </x14:formula1>
          <xm:sqref>I6:I10</xm:sqref>
        </x14:dataValidation>
        <x14:dataValidation type="list" allowBlank="1" showInputMessage="1" showErrorMessage="1" xr:uid="{B8474B81-03F4-4995-937C-755B33F7D97A}">
          <x14:formula1>
            <xm:f>'List Options'!$J$2:$J$6</xm:f>
          </x14:formula1>
          <xm:sqref>O6:O10</xm:sqref>
        </x14:dataValidation>
        <x14:dataValidation type="list" allowBlank="1" showInputMessage="1" showErrorMessage="1" xr:uid="{BB4FEFF3-3699-4937-9141-53F8D9E5ACB4}">
          <x14:formula1>
            <xm:f>'List Options'!$K$2:$K$6</xm:f>
          </x14:formula1>
          <xm:sqref>AB6:AB10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7F09-8044-4ACF-9C12-16F99631724E}">
  <sheetPr codeName="Sheet7">
    <tabColor rgb="FFE189B5"/>
    <pageSetUpPr autoPageBreaks="0"/>
  </sheetPr>
  <dimension ref="A1:AF10"/>
  <sheetViews>
    <sheetView showGridLines="0" zoomScale="90" zoomScaleNormal="90" zoomScaleSheetLayoutView="75" workbookViewId="0">
      <pane ySplit="5" topLeftCell="A6" activePane="bottomLeft" state="frozen"/>
      <selection pane="bottomLeft" activeCell="C6" sqref="C6:C10"/>
    </sheetView>
  </sheetViews>
  <sheetFormatPr defaultColWidth="9.140625" defaultRowHeight="15" outlineLevelCol="1" x14ac:dyDescent="0.25"/>
  <cols>
    <col min="1" max="1" width="12" style="90" customWidth="1"/>
    <col min="2" max="2" width="24.85546875" style="35" customWidth="1"/>
    <col min="3" max="3" width="12.85546875" style="67" customWidth="1"/>
    <col min="4" max="4" width="14.5703125" style="8" customWidth="1"/>
    <col min="5" max="5" width="14.7109375" style="35" customWidth="1"/>
    <col min="6" max="6" width="32.28515625" style="10" customWidth="1"/>
    <col min="7" max="7" width="54.140625" style="10" customWidth="1"/>
    <col min="8" max="8" width="15.140625" style="72" customWidth="1"/>
    <col min="9" max="9" width="34.42578125" style="10" customWidth="1"/>
    <col min="10" max="10" width="12.85546875" style="32" hidden="1" customWidth="1" outlineLevel="1"/>
    <col min="11" max="11" width="28.5703125" style="10" hidden="1" customWidth="1" outlineLevel="1"/>
    <col min="12" max="12" width="12.85546875" style="32" hidden="1" customWidth="1" outlineLevel="1"/>
    <col min="13" max="13" width="16.140625" style="9" customWidth="1" collapsed="1"/>
    <col min="14" max="14" width="12.85546875" style="32" customWidth="1"/>
    <col min="15" max="15" width="34.42578125" style="10" customWidth="1"/>
    <col min="16" max="16" width="12.85546875" style="32" hidden="1" customWidth="1" outlineLevel="1"/>
    <col min="17" max="17" width="28.5703125" style="10" hidden="1" customWidth="1" outlineLevel="1"/>
    <col min="18" max="18" width="12.85546875" style="32" hidden="1" customWidth="1" outlineLevel="1"/>
    <col min="19" max="19" width="12.85546875" style="32" customWidth="1" collapsed="1"/>
    <col min="20" max="20" width="12.85546875" style="10" customWidth="1"/>
    <col min="21" max="21" width="12.5703125" style="9" customWidth="1"/>
    <col min="22" max="22" width="12.85546875" style="32" customWidth="1"/>
    <col min="23" max="23" width="28.5703125" style="10" customWidth="1"/>
    <col min="24" max="24" width="12.85546875" style="32" customWidth="1"/>
    <col min="25" max="25" width="28.5703125" style="10" customWidth="1"/>
    <col min="26" max="26" width="12.85546875" style="32" customWidth="1"/>
    <col min="27" max="27" width="28.5703125" style="10" customWidth="1"/>
    <col min="28" max="28" width="34.42578125" style="10" customWidth="1"/>
    <col min="29" max="29" width="12.85546875" style="32" customWidth="1"/>
    <col min="30" max="30" width="28.5703125" style="10" customWidth="1"/>
    <col min="31" max="31" width="34.28515625" style="10" customWidth="1"/>
    <col min="32" max="32" width="9.140625" style="63"/>
    <col min="33" max="16384" width="9.140625" style="42"/>
  </cols>
  <sheetData>
    <row r="1" spans="1:32" s="36" customFormat="1" ht="20.25" thickBot="1" x14ac:dyDescent="0.3">
      <c r="A1" s="89"/>
      <c r="B1" s="43"/>
      <c r="C1" s="45"/>
      <c r="D1" s="44"/>
      <c r="E1" s="43"/>
      <c r="F1" s="44"/>
      <c r="G1" s="44"/>
      <c r="H1" s="68"/>
      <c r="I1" s="44"/>
      <c r="J1" s="45"/>
      <c r="K1" s="44"/>
      <c r="L1" s="45"/>
      <c r="M1" s="43"/>
      <c r="N1" s="45"/>
      <c r="O1" s="44"/>
      <c r="P1" s="45"/>
      <c r="Q1" s="44"/>
      <c r="R1" s="45"/>
      <c r="S1" s="45"/>
      <c r="T1" s="44"/>
      <c r="U1" s="43"/>
      <c r="V1" s="45"/>
      <c r="W1" s="44"/>
      <c r="X1" s="45"/>
      <c r="Y1" s="44"/>
      <c r="Z1" s="45"/>
      <c r="AA1" s="44"/>
      <c r="AB1" s="44"/>
      <c r="AC1" s="45"/>
      <c r="AD1" s="44"/>
      <c r="AE1" s="44"/>
    </row>
    <row r="2" spans="1:32" s="36" customFormat="1" ht="65.25" customHeight="1" x14ac:dyDescent="0.25">
      <c r="A2" s="90"/>
      <c r="B2" s="117" t="s">
        <v>54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9"/>
      <c r="AF2" s="57"/>
    </row>
    <row r="3" spans="1:32" s="37" customFormat="1" ht="17.25" customHeight="1" x14ac:dyDescent="0.25">
      <c r="A3" s="91"/>
      <c r="B3" s="127" t="s">
        <v>17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9"/>
      <c r="V3" s="120" t="s">
        <v>79</v>
      </c>
      <c r="W3" s="121"/>
      <c r="X3" s="122" t="s">
        <v>80</v>
      </c>
      <c r="Y3" s="123"/>
      <c r="Z3" s="124" t="s">
        <v>16</v>
      </c>
      <c r="AA3" s="125"/>
      <c r="AB3" s="126"/>
      <c r="AC3" s="115" t="s">
        <v>17</v>
      </c>
      <c r="AD3" s="115"/>
      <c r="AE3" s="116"/>
      <c r="AF3" s="58"/>
    </row>
    <row r="4" spans="1:32" s="38" customFormat="1" ht="42" customHeight="1" x14ac:dyDescent="0.25">
      <c r="A4" s="55"/>
      <c r="B4" s="54" t="s">
        <v>14</v>
      </c>
      <c r="C4" s="64" t="s">
        <v>65</v>
      </c>
      <c r="D4" s="16" t="s">
        <v>66</v>
      </c>
      <c r="E4" s="16" t="s">
        <v>62</v>
      </c>
      <c r="F4" s="17" t="s">
        <v>60</v>
      </c>
      <c r="G4" s="17" t="s">
        <v>64</v>
      </c>
      <c r="H4" s="69" t="s">
        <v>63</v>
      </c>
      <c r="I4" s="17" t="s">
        <v>76</v>
      </c>
      <c r="J4" s="25" t="s">
        <v>71</v>
      </c>
      <c r="K4" s="18" t="s">
        <v>70</v>
      </c>
      <c r="L4" s="25" t="s">
        <v>103</v>
      </c>
      <c r="M4" s="17" t="s">
        <v>53</v>
      </c>
      <c r="N4" s="24" t="s">
        <v>75</v>
      </c>
      <c r="O4" s="17" t="s">
        <v>77</v>
      </c>
      <c r="P4" s="25" t="s">
        <v>71</v>
      </c>
      <c r="Q4" s="18" t="s">
        <v>70</v>
      </c>
      <c r="R4" s="25" t="s">
        <v>103</v>
      </c>
      <c r="S4" s="26" t="s">
        <v>59</v>
      </c>
      <c r="T4" s="19" t="s">
        <v>40</v>
      </c>
      <c r="U4" s="74" t="s">
        <v>112</v>
      </c>
      <c r="V4" s="27" t="s">
        <v>58</v>
      </c>
      <c r="W4" s="12" t="s">
        <v>39</v>
      </c>
      <c r="X4" s="28" t="s">
        <v>58</v>
      </c>
      <c r="Y4" s="13" t="s">
        <v>66</v>
      </c>
      <c r="Z4" s="29" t="s">
        <v>58</v>
      </c>
      <c r="AA4" s="14" t="s">
        <v>66</v>
      </c>
      <c r="AB4" s="15" t="s">
        <v>52</v>
      </c>
      <c r="AC4" s="30" t="s">
        <v>58</v>
      </c>
      <c r="AD4" s="11" t="s">
        <v>66</v>
      </c>
      <c r="AE4" s="56" t="s">
        <v>52</v>
      </c>
      <c r="AF4" s="59"/>
    </row>
    <row r="5" spans="1:32" s="39" customFormat="1" ht="8.25" customHeight="1" x14ac:dyDescent="0.25">
      <c r="A5" s="92"/>
      <c r="B5" s="46" t="s">
        <v>38</v>
      </c>
      <c r="C5" s="65" t="s">
        <v>65</v>
      </c>
      <c r="D5" s="47" t="s">
        <v>66</v>
      </c>
      <c r="E5" s="46" t="s">
        <v>86</v>
      </c>
      <c r="F5" s="48" t="s">
        <v>60</v>
      </c>
      <c r="G5" s="48" t="s">
        <v>64</v>
      </c>
      <c r="H5" s="70" t="s">
        <v>63</v>
      </c>
      <c r="I5" s="48" t="s">
        <v>76</v>
      </c>
      <c r="J5" s="49" t="s">
        <v>74</v>
      </c>
      <c r="K5" s="48" t="s">
        <v>72</v>
      </c>
      <c r="L5" s="49" t="s">
        <v>73</v>
      </c>
      <c r="M5" s="50" t="s">
        <v>53</v>
      </c>
      <c r="N5" s="49" t="s">
        <v>75</v>
      </c>
      <c r="O5" s="48" t="s">
        <v>77</v>
      </c>
      <c r="P5" s="49" t="s">
        <v>92</v>
      </c>
      <c r="Q5" s="48" t="s">
        <v>93</v>
      </c>
      <c r="R5" s="49" t="s">
        <v>94</v>
      </c>
      <c r="S5" s="51" t="s">
        <v>59</v>
      </c>
      <c r="T5" s="52" t="s">
        <v>40</v>
      </c>
      <c r="U5" s="73" t="s">
        <v>37</v>
      </c>
      <c r="V5" s="51" t="s">
        <v>58</v>
      </c>
      <c r="W5" s="52" t="s">
        <v>95</v>
      </c>
      <c r="X5" s="51" t="s">
        <v>96</v>
      </c>
      <c r="Y5" s="52" t="s">
        <v>97</v>
      </c>
      <c r="Z5" s="51" t="s">
        <v>98</v>
      </c>
      <c r="AA5" s="52" t="s">
        <v>99</v>
      </c>
      <c r="AB5" s="48" t="s">
        <v>52</v>
      </c>
      <c r="AC5" s="51" t="s">
        <v>100</v>
      </c>
      <c r="AD5" s="52" t="s">
        <v>101</v>
      </c>
      <c r="AE5" s="48" t="s">
        <v>102</v>
      </c>
      <c r="AF5" s="60"/>
    </row>
    <row r="6" spans="1:32" s="40" customFormat="1" ht="16.5" x14ac:dyDescent="0.25">
      <c r="A6" s="93"/>
      <c r="B6" s="34" t="str">
        <f>"CMDF Tr-IN"&amp;TEXT(MONTH(GF_RS235[[#This Row],[RS Date (Date Received)]]),"00")&amp;"2024-"&amp;TEXT(ROW(A1),"0000")</f>
        <v>CMDF Tr-IN082024-0001</v>
      </c>
      <c r="C6" s="66">
        <v>45519</v>
      </c>
      <c r="D6" s="20" t="s">
        <v>109</v>
      </c>
      <c r="E6" s="34"/>
      <c r="F6" s="21"/>
      <c r="G6" s="22"/>
      <c r="H6" s="71"/>
      <c r="I6" s="22" t="s">
        <v>67</v>
      </c>
      <c r="J6" s="31">
        <v>45414</v>
      </c>
      <c r="K6" s="21"/>
      <c r="L6" s="31">
        <v>45445</v>
      </c>
      <c r="M6" s="33"/>
      <c r="N6" s="31"/>
      <c r="O6" s="22"/>
      <c r="P6" s="31">
        <v>45384</v>
      </c>
      <c r="Q6" s="21"/>
      <c r="R6" s="31">
        <v>45353</v>
      </c>
      <c r="S6" s="31"/>
      <c r="T6" s="21" t="s">
        <v>25</v>
      </c>
      <c r="U6" s="33">
        <f>_xlfn.DAYS(GF_RS235[[#This Row],[Date
Released]],GF_RS235[[#This Row],[RS Date (Date Received)]])</f>
        <v>-45519</v>
      </c>
      <c r="V6" s="31"/>
      <c r="W6" s="21"/>
      <c r="X6" s="31"/>
      <c r="Y6" s="21"/>
      <c r="Z6" s="31"/>
      <c r="AA6" s="53"/>
      <c r="AB6" s="22"/>
      <c r="AC6" s="31"/>
      <c r="AD6" s="53"/>
      <c r="AE6" s="21"/>
      <c r="AF6" s="61"/>
    </row>
    <row r="7" spans="1:32" s="41" customFormat="1" ht="16.5" x14ac:dyDescent="0.25">
      <c r="A7" s="93"/>
      <c r="B7" s="34" t="str">
        <f>"CMDF Tr-IN"&amp;TEXT(MONTH(GF_RS235[[#This Row],[RS Date (Date Received)]]),"00")&amp;"2024-"&amp;TEXT(ROW(A2),"0000")</f>
        <v>CMDF Tr-IN082024-0002</v>
      </c>
      <c r="C7" s="66">
        <v>45519</v>
      </c>
      <c r="D7" s="20"/>
      <c r="E7" s="34"/>
      <c r="F7" s="21"/>
      <c r="G7" s="22"/>
      <c r="H7" s="71"/>
      <c r="I7" s="22" t="s">
        <v>67</v>
      </c>
      <c r="J7" s="31"/>
      <c r="K7" s="21"/>
      <c r="L7" s="31"/>
      <c r="M7" s="33"/>
      <c r="N7" s="31"/>
      <c r="O7" s="22"/>
      <c r="P7" s="31"/>
      <c r="Q7" s="21"/>
      <c r="R7" s="31"/>
      <c r="S7" s="31"/>
      <c r="T7" s="21" t="s">
        <v>25</v>
      </c>
      <c r="U7" s="33">
        <f>_xlfn.DAYS(GF_RS235[[#This Row],[Date
Released]],GF_RS235[[#This Row],[RS Date (Date Received)]])</f>
        <v>-45519</v>
      </c>
      <c r="V7" s="31"/>
      <c r="W7" s="21"/>
      <c r="X7" s="31"/>
      <c r="Y7" s="21"/>
      <c r="Z7" s="31"/>
      <c r="AA7" s="21"/>
      <c r="AB7" s="22"/>
      <c r="AC7" s="31"/>
      <c r="AD7" s="21"/>
      <c r="AE7" s="21"/>
      <c r="AF7" s="62"/>
    </row>
    <row r="8" spans="1:32" s="41" customFormat="1" ht="16.5" x14ac:dyDescent="0.25">
      <c r="A8" s="93" t="s">
        <v>117</v>
      </c>
      <c r="B8" s="34" t="str">
        <f>"CMDF Tr-IN"&amp;TEXT(MONTH(GF_RS235[[#This Row],[RS Date (Date Received)]]),"00")&amp;"2024-"&amp;TEXT(ROW(A3),"0000")</f>
        <v>CMDF Tr-IN082024-0003</v>
      </c>
      <c r="C8" s="66">
        <v>45519</v>
      </c>
      <c r="D8" s="20"/>
      <c r="E8" s="34"/>
      <c r="F8" s="21"/>
      <c r="G8" s="22"/>
      <c r="H8" s="71"/>
      <c r="I8" s="22" t="s">
        <v>67</v>
      </c>
      <c r="J8" s="31"/>
      <c r="K8" s="21"/>
      <c r="L8" s="31"/>
      <c r="M8" s="33"/>
      <c r="N8" s="31"/>
      <c r="O8" s="22"/>
      <c r="P8" s="31"/>
      <c r="Q8" s="21"/>
      <c r="R8" s="31"/>
      <c r="S8" s="31"/>
      <c r="T8" s="21" t="s">
        <v>25</v>
      </c>
      <c r="U8" s="33">
        <f>_xlfn.DAYS(GF_RS235[[#This Row],[Date
Released]],GF_RS235[[#This Row],[RS Date (Date Received)]])</f>
        <v>-45519</v>
      </c>
      <c r="V8" s="31"/>
      <c r="W8" s="21"/>
      <c r="X8" s="31"/>
      <c r="Y8" s="21"/>
      <c r="Z8" s="31"/>
      <c r="AA8" s="21"/>
      <c r="AB8" s="22"/>
      <c r="AC8" s="31"/>
      <c r="AD8" s="23"/>
      <c r="AE8" s="21"/>
      <c r="AF8" s="62"/>
    </row>
    <row r="9" spans="1:32" s="41" customFormat="1" ht="16.5" x14ac:dyDescent="0.25">
      <c r="A9" s="93"/>
      <c r="B9" s="34" t="str">
        <f>"CMDF Tr-IN"&amp;TEXT(MONTH(GF_RS235[[#This Row],[RS Date (Date Received)]]),"00")&amp;"2024-"&amp;TEXT(ROW(A4),"0000")</f>
        <v>CMDF Tr-IN082024-0004</v>
      </c>
      <c r="C9" s="66">
        <v>45519</v>
      </c>
      <c r="D9" s="20"/>
      <c r="E9" s="34"/>
      <c r="F9" s="21"/>
      <c r="G9" s="22"/>
      <c r="H9" s="71"/>
      <c r="I9" s="22" t="s">
        <v>67</v>
      </c>
      <c r="J9" s="31"/>
      <c r="K9" s="21"/>
      <c r="L9" s="31"/>
      <c r="M9" s="33"/>
      <c r="N9" s="31"/>
      <c r="O9" s="22"/>
      <c r="P9" s="31"/>
      <c r="Q9" s="21"/>
      <c r="R9" s="31"/>
      <c r="S9" s="31"/>
      <c r="T9" s="21" t="s">
        <v>25</v>
      </c>
      <c r="U9" s="33">
        <f>_xlfn.DAYS(GF_RS235[[#This Row],[Date
Released]],GF_RS235[[#This Row],[RS Date (Date Received)]])</f>
        <v>-45519</v>
      </c>
      <c r="V9" s="31"/>
      <c r="W9" s="21"/>
      <c r="X9" s="31"/>
      <c r="Y9" s="21"/>
      <c r="Z9" s="31"/>
      <c r="AA9" s="21"/>
      <c r="AB9" s="22"/>
      <c r="AC9" s="31"/>
      <c r="AD9" s="23"/>
      <c r="AE9" s="21"/>
      <c r="AF9" s="62"/>
    </row>
    <row r="10" spans="1:32" ht="16.5" x14ac:dyDescent="0.25">
      <c r="B10" s="34" t="str">
        <f>"CMDF Tr-IN"&amp;TEXT(MONTH(GF_RS235[[#This Row],[RS Date (Date Received)]]),"00")&amp;"2024-"&amp;TEXT(ROW(A5),"0000")</f>
        <v>CMDF Tr-IN082024-0005</v>
      </c>
      <c r="C10" s="66">
        <v>45519</v>
      </c>
      <c r="D10" s="20"/>
      <c r="E10" s="34"/>
      <c r="F10" s="21"/>
      <c r="G10" s="22"/>
      <c r="H10" s="71"/>
      <c r="I10" s="22" t="s">
        <v>67</v>
      </c>
      <c r="J10" s="31"/>
      <c r="K10" s="21"/>
      <c r="L10" s="31"/>
      <c r="M10" s="33"/>
      <c r="N10" s="31"/>
      <c r="O10" s="22"/>
      <c r="P10" s="31"/>
      <c r="Q10" s="21"/>
      <c r="R10" s="31"/>
      <c r="S10" s="31"/>
      <c r="T10" s="21" t="s">
        <v>25</v>
      </c>
      <c r="U10" s="33">
        <f>_xlfn.DAYS(GF_RS235[[#This Row],[Date
Released]],GF_RS235[[#This Row],[RS Date (Date Received)]])</f>
        <v>-45519</v>
      </c>
      <c r="V10" s="31"/>
      <c r="W10" s="21"/>
      <c r="X10" s="31"/>
      <c r="Y10" s="21"/>
      <c r="Z10" s="31"/>
      <c r="AA10" s="21"/>
      <c r="AB10" s="22"/>
      <c r="AC10" s="31"/>
      <c r="AD10" s="23"/>
      <c r="AE10" s="21"/>
    </row>
  </sheetData>
  <mergeCells count="6">
    <mergeCell ref="B2:AE2"/>
    <mergeCell ref="B3:U3"/>
    <mergeCell ref="V3:W3"/>
    <mergeCell ref="X3:Y3"/>
    <mergeCell ref="Z3:AB3"/>
    <mergeCell ref="AC3:AE3"/>
  </mergeCells>
  <conditionalFormatting sqref="U1:U3 U6:U1048576">
    <cfRule type="cellIs" dxfId="67" priority="1" operator="greaterThan">
      <formula>3</formula>
    </cfRule>
  </conditionalFormatting>
  <dataValidations count="3">
    <dataValidation type="list" allowBlank="1" showInputMessage="1" showErrorMessage="1" sqref="W6:W10" xr:uid="{89C0F7AD-90B7-4285-A1EF-95A86A7D9E98}">
      <formula1>INDIRECT(T6)</formula1>
    </dataValidation>
    <dataValidation type="list" allowBlank="1" showInputMessage="1" showErrorMessage="1" sqref="D1:D2 D4:D1048576" xr:uid="{11DAFC56-B6CB-4343-B3BA-46DD168D6D91}">
      <formula1>Accounting</formula1>
    </dataValidation>
    <dataValidation type="list" allowBlank="1" showInputMessage="1" showErrorMessage="1" sqref="T6:T10" xr:uid="{0DACF814-AEEA-4070-9DB7-0294E5618E46}">
      <formula1>Division</formula1>
    </dataValidation>
  </dataValidations>
  <pageMargins left="0.7" right="0.7" top="0.75" bottom="0.75" header="0.3" footer="0.3"/>
  <pageSetup paperSize="9" scale="31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28575</xdr:colOff>
                <xdr:row>3</xdr:row>
                <xdr:rowOff>38100</xdr:rowOff>
              </from>
              <to>
                <xdr:col>0</xdr:col>
                <xdr:colOff>781050</xdr:colOff>
                <xdr:row>3</xdr:row>
                <xdr:rowOff>504825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E1CC9E-64F8-41C7-A846-CFECAD06DCD2}">
          <x14:formula1>
            <xm:f>'List Options'!$K$2:$K$6</xm:f>
          </x14:formula1>
          <xm:sqref>AB6:AB10</xm:sqref>
        </x14:dataValidation>
        <x14:dataValidation type="list" allowBlank="1" showInputMessage="1" showErrorMessage="1" xr:uid="{CDCB4BB6-98FD-4FA9-9C13-B6B7C0284327}">
          <x14:formula1>
            <xm:f>'List Options'!$J$2:$J$6</xm:f>
          </x14:formula1>
          <xm:sqref>O6:O10</xm:sqref>
        </x14:dataValidation>
        <x14:dataValidation type="list" allowBlank="1" showInputMessage="1" showErrorMessage="1" xr:uid="{E57B6A1C-F171-4FF2-823C-43BC74B30FE5}">
          <x14:formula1>
            <xm:f>'List Options'!$I$2:$I$5</xm:f>
          </x14:formula1>
          <xm:sqref>I6:I10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A613C-FBC2-48DA-884C-AEB2AFE44047}">
  <sheetPr codeName="Sheet8">
    <tabColor rgb="FF7030A0"/>
    <pageSetUpPr autoPageBreaks="0"/>
  </sheetPr>
  <dimension ref="A1:AF10"/>
  <sheetViews>
    <sheetView showGridLines="0" zoomScale="90" zoomScaleNormal="90" zoomScaleSheetLayoutView="75" workbookViewId="0">
      <pane ySplit="5" topLeftCell="A6" activePane="bottomLeft" state="frozen"/>
      <selection pane="bottomLeft" activeCell="G23" sqref="G23"/>
    </sheetView>
  </sheetViews>
  <sheetFormatPr defaultColWidth="9.140625" defaultRowHeight="15" outlineLevelCol="1" x14ac:dyDescent="0.25"/>
  <cols>
    <col min="1" max="1" width="12" style="90" customWidth="1"/>
    <col min="2" max="2" width="24.85546875" style="35" customWidth="1"/>
    <col min="3" max="3" width="12.85546875" style="67" customWidth="1"/>
    <col min="4" max="4" width="14.5703125" style="8" customWidth="1"/>
    <col min="5" max="5" width="14.7109375" style="35" customWidth="1"/>
    <col min="6" max="6" width="32.28515625" style="10" customWidth="1"/>
    <col min="7" max="7" width="54.140625" style="10" customWidth="1"/>
    <col min="8" max="8" width="15.140625" style="72" customWidth="1"/>
    <col min="9" max="9" width="34.42578125" style="10" customWidth="1"/>
    <col min="10" max="10" width="12.85546875" style="32" hidden="1" customWidth="1" outlineLevel="1"/>
    <col min="11" max="11" width="28.5703125" style="10" hidden="1" customWidth="1" outlineLevel="1"/>
    <col min="12" max="12" width="12.85546875" style="32" hidden="1" customWidth="1" outlineLevel="1"/>
    <col min="13" max="13" width="16.140625" style="9" customWidth="1" collapsed="1"/>
    <col min="14" max="14" width="12.85546875" style="32" customWidth="1"/>
    <col min="15" max="15" width="34.42578125" style="10" customWidth="1"/>
    <col min="16" max="16" width="12.85546875" style="32" hidden="1" customWidth="1" outlineLevel="1"/>
    <col min="17" max="17" width="28.5703125" style="10" hidden="1" customWidth="1" outlineLevel="1"/>
    <col min="18" max="18" width="12.85546875" style="32" hidden="1" customWidth="1" outlineLevel="1"/>
    <col min="19" max="19" width="12.85546875" style="32" customWidth="1" collapsed="1"/>
    <col min="20" max="20" width="12.85546875" style="10" customWidth="1"/>
    <col min="21" max="21" width="12.5703125" style="9" customWidth="1"/>
    <col min="22" max="22" width="12.85546875" style="32" customWidth="1"/>
    <col min="23" max="23" width="28.5703125" style="10" customWidth="1"/>
    <col min="24" max="24" width="12.85546875" style="32" customWidth="1"/>
    <col min="25" max="25" width="28.5703125" style="10" customWidth="1"/>
    <col min="26" max="26" width="12.85546875" style="32" customWidth="1"/>
    <col min="27" max="27" width="28.5703125" style="10" customWidth="1"/>
    <col min="28" max="28" width="34.42578125" style="10" customWidth="1"/>
    <col min="29" max="29" width="12.85546875" style="32" customWidth="1"/>
    <col min="30" max="30" width="28.5703125" style="10" customWidth="1"/>
    <col min="31" max="31" width="34.28515625" style="10" customWidth="1"/>
    <col min="32" max="32" width="9.140625" style="63"/>
    <col min="33" max="16384" width="9.140625" style="42"/>
  </cols>
  <sheetData>
    <row r="1" spans="1:32" s="36" customFormat="1" ht="20.25" thickBot="1" x14ac:dyDescent="0.3">
      <c r="A1" s="89"/>
      <c r="B1" s="43"/>
      <c r="C1" s="45"/>
      <c r="D1" s="44"/>
      <c r="E1" s="43"/>
      <c r="F1" s="44"/>
      <c r="G1" s="44"/>
      <c r="H1" s="68"/>
      <c r="I1" s="44"/>
      <c r="J1" s="45"/>
      <c r="K1" s="44"/>
      <c r="L1" s="45"/>
      <c r="M1" s="43"/>
      <c r="N1" s="45"/>
      <c r="O1" s="44"/>
      <c r="P1" s="45"/>
      <c r="Q1" s="44"/>
      <c r="R1" s="45"/>
      <c r="S1" s="45"/>
      <c r="T1" s="44"/>
      <c r="U1" s="43"/>
      <c r="V1" s="45"/>
      <c r="W1" s="44"/>
      <c r="X1" s="45"/>
      <c r="Y1" s="44"/>
      <c r="Z1" s="45"/>
      <c r="AA1" s="44"/>
      <c r="AB1" s="44"/>
      <c r="AC1" s="45"/>
      <c r="AD1" s="44"/>
      <c r="AE1" s="44"/>
    </row>
    <row r="2" spans="1:32" s="36" customFormat="1" ht="65.25" customHeight="1" x14ac:dyDescent="0.25">
      <c r="A2" s="90"/>
      <c r="B2" s="117" t="s">
        <v>54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9"/>
      <c r="AF2" s="57"/>
    </row>
    <row r="3" spans="1:32" s="37" customFormat="1" ht="17.25" customHeight="1" x14ac:dyDescent="0.25">
      <c r="A3" s="91"/>
      <c r="B3" s="127" t="s">
        <v>17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9"/>
      <c r="V3" s="120" t="s">
        <v>79</v>
      </c>
      <c r="W3" s="121"/>
      <c r="X3" s="122" t="s">
        <v>80</v>
      </c>
      <c r="Y3" s="123"/>
      <c r="Z3" s="124" t="s">
        <v>16</v>
      </c>
      <c r="AA3" s="125"/>
      <c r="AB3" s="126"/>
      <c r="AC3" s="115" t="s">
        <v>17</v>
      </c>
      <c r="AD3" s="115"/>
      <c r="AE3" s="116"/>
      <c r="AF3" s="58"/>
    </row>
    <row r="4" spans="1:32" s="38" customFormat="1" ht="42" customHeight="1" x14ac:dyDescent="0.25">
      <c r="A4" s="55"/>
      <c r="B4" s="54" t="s">
        <v>14</v>
      </c>
      <c r="C4" s="64" t="s">
        <v>65</v>
      </c>
      <c r="D4" s="16" t="s">
        <v>66</v>
      </c>
      <c r="E4" s="16" t="s">
        <v>62</v>
      </c>
      <c r="F4" s="17" t="s">
        <v>60</v>
      </c>
      <c r="G4" s="17" t="s">
        <v>64</v>
      </c>
      <c r="H4" s="69" t="s">
        <v>63</v>
      </c>
      <c r="I4" s="17" t="s">
        <v>76</v>
      </c>
      <c r="J4" s="25" t="s">
        <v>71</v>
      </c>
      <c r="K4" s="18" t="s">
        <v>70</v>
      </c>
      <c r="L4" s="25" t="s">
        <v>103</v>
      </c>
      <c r="M4" s="17" t="s">
        <v>53</v>
      </c>
      <c r="N4" s="24" t="s">
        <v>75</v>
      </c>
      <c r="O4" s="17" t="s">
        <v>77</v>
      </c>
      <c r="P4" s="25" t="s">
        <v>71</v>
      </c>
      <c r="Q4" s="18" t="s">
        <v>70</v>
      </c>
      <c r="R4" s="25" t="s">
        <v>103</v>
      </c>
      <c r="S4" s="26" t="s">
        <v>59</v>
      </c>
      <c r="T4" s="19" t="s">
        <v>40</v>
      </c>
      <c r="U4" s="74" t="s">
        <v>112</v>
      </c>
      <c r="V4" s="27" t="s">
        <v>58</v>
      </c>
      <c r="W4" s="12" t="s">
        <v>39</v>
      </c>
      <c r="X4" s="28" t="s">
        <v>58</v>
      </c>
      <c r="Y4" s="13" t="s">
        <v>66</v>
      </c>
      <c r="Z4" s="29" t="s">
        <v>58</v>
      </c>
      <c r="AA4" s="14" t="s">
        <v>66</v>
      </c>
      <c r="AB4" s="15" t="s">
        <v>52</v>
      </c>
      <c r="AC4" s="30" t="s">
        <v>58</v>
      </c>
      <c r="AD4" s="11" t="s">
        <v>66</v>
      </c>
      <c r="AE4" s="56" t="s">
        <v>52</v>
      </c>
      <c r="AF4" s="59"/>
    </row>
    <row r="5" spans="1:32" s="39" customFormat="1" ht="8.25" customHeight="1" x14ac:dyDescent="0.25">
      <c r="A5" s="92"/>
      <c r="B5" s="46" t="s">
        <v>38</v>
      </c>
      <c r="C5" s="65" t="s">
        <v>65</v>
      </c>
      <c r="D5" s="47" t="s">
        <v>66</v>
      </c>
      <c r="E5" s="46" t="s">
        <v>86</v>
      </c>
      <c r="F5" s="48" t="s">
        <v>60</v>
      </c>
      <c r="G5" s="48" t="s">
        <v>64</v>
      </c>
      <c r="H5" s="70" t="s">
        <v>63</v>
      </c>
      <c r="I5" s="48" t="s">
        <v>76</v>
      </c>
      <c r="J5" s="49" t="s">
        <v>74</v>
      </c>
      <c r="K5" s="48" t="s">
        <v>72</v>
      </c>
      <c r="L5" s="49" t="s">
        <v>73</v>
      </c>
      <c r="M5" s="50" t="s">
        <v>53</v>
      </c>
      <c r="N5" s="49" t="s">
        <v>75</v>
      </c>
      <c r="O5" s="48" t="s">
        <v>77</v>
      </c>
      <c r="P5" s="49" t="s">
        <v>92</v>
      </c>
      <c r="Q5" s="48" t="s">
        <v>93</v>
      </c>
      <c r="R5" s="49" t="s">
        <v>94</v>
      </c>
      <c r="S5" s="51" t="s">
        <v>59</v>
      </c>
      <c r="T5" s="52" t="s">
        <v>40</v>
      </c>
      <c r="U5" s="73" t="s">
        <v>37</v>
      </c>
      <c r="V5" s="51" t="s">
        <v>58</v>
      </c>
      <c r="W5" s="52" t="s">
        <v>95</v>
      </c>
      <c r="X5" s="51" t="s">
        <v>96</v>
      </c>
      <c r="Y5" s="52" t="s">
        <v>97</v>
      </c>
      <c r="Z5" s="51" t="s">
        <v>98</v>
      </c>
      <c r="AA5" s="52" t="s">
        <v>99</v>
      </c>
      <c r="AB5" s="48" t="s">
        <v>52</v>
      </c>
      <c r="AC5" s="51" t="s">
        <v>100</v>
      </c>
      <c r="AD5" s="52" t="s">
        <v>101</v>
      </c>
      <c r="AE5" s="48" t="s">
        <v>102</v>
      </c>
      <c r="AF5" s="60"/>
    </row>
    <row r="6" spans="1:32" s="40" customFormat="1" ht="16.5" x14ac:dyDescent="0.25">
      <c r="A6" s="93" t="s">
        <v>117</v>
      </c>
      <c r="B6" s="34" t="str">
        <f>"CMDF Rev-IN"&amp;TEXT(MONTH(GF_RS2356[[#This Row],[RS Date (Date Received)]]),"00")&amp;"2024-"&amp;TEXT(ROW(A1),"0000")</f>
        <v>CMDF Rev-IN082024-0001</v>
      </c>
      <c r="C6" s="66">
        <v>45519</v>
      </c>
      <c r="D6" s="20" t="s">
        <v>109</v>
      </c>
      <c r="E6" s="34"/>
      <c r="F6" s="21"/>
      <c r="G6" s="22"/>
      <c r="H6" s="71"/>
      <c r="I6" s="22" t="s">
        <v>67</v>
      </c>
      <c r="J6" s="31">
        <v>45414</v>
      </c>
      <c r="K6" s="21"/>
      <c r="L6" s="31">
        <v>45445</v>
      </c>
      <c r="M6" s="33"/>
      <c r="N6" s="31"/>
      <c r="O6" s="22"/>
      <c r="P6" s="31">
        <v>45384</v>
      </c>
      <c r="Q6" s="21"/>
      <c r="R6" s="31">
        <v>45353</v>
      </c>
      <c r="S6" s="31"/>
      <c r="T6" s="21" t="s">
        <v>25</v>
      </c>
      <c r="U6" s="33">
        <f>_xlfn.DAYS(GF_RS2356[[#This Row],[Date
Released]],GF_RS2356[[#This Row],[RS Date (Date Received)]])</f>
        <v>-45519</v>
      </c>
      <c r="V6" s="31"/>
      <c r="W6" s="21"/>
      <c r="X6" s="31"/>
      <c r="Y6" s="21"/>
      <c r="Z6" s="31"/>
      <c r="AA6" s="53"/>
      <c r="AB6" s="22"/>
      <c r="AC6" s="31"/>
      <c r="AD6" s="53"/>
      <c r="AE6" s="21"/>
      <c r="AF6" s="61"/>
    </row>
    <row r="7" spans="1:32" s="41" customFormat="1" ht="16.5" x14ac:dyDescent="0.25">
      <c r="A7" s="93"/>
      <c r="B7" s="34" t="str">
        <f>"CMDF Rev-IN"&amp;TEXT(MONTH(GF_RS2356[[#This Row],[RS Date (Date Received)]]),"00")&amp;"2024-"&amp;TEXT(ROW(A2),"0000")</f>
        <v>CMDF Rev-IN082024-0002</v>
      </c>
      <c r="C7" s="66">
        <v>45519</v>
      </c>
      <c r="D7" s="20"/>
      <c r="E7" s="34"/>
      <c r="F7" s="21"/>
      <c r="G7" s="22"/>
      <c r="H7" s="71"/>
      <c r="I7" s="22" t="s">
        <v>67</v>
      </c>
      <c r="J7" s="31"/>
      <c r="K7" s="21"/>
      <c r="L7" s="31"/>
      <c r="M7" s="33"/>
      <c r="N7" s="31"/>
      <c r="O7" s="22"/>
      <c r="P7" s="31"/>
      <c r="Q7" s="21"/>
      <c r="R7" s="31"/>
      <c r="S7" s="31"/>
      <c r="T7" s="21" t="s">
        <v>25</v>
      </c>
      <c r="U7" s="33">
        <f>_xlfn.DAYS(GF_RS2356[[#This Row],[Date
Released]],GF_RS2356[[#This Row],[RS Date (Date Received)]])</f>
        <v>-45519</v>
      </c>
      <c r="V7" s="31"/>
      <c r="W7" s="21"/>
      <c r="X7" s="31"/>
      <c r="Y7" s="21"/>
      <c r="Z7" s="31"/>
      <c r="AA7" s="21"/>
      <c r="AB7" s="22"/>
      <c r="AC7" s="31"/>
      <c r="AD7" s="21"/>
      <c r="AE7" s="21"/>
      <c r="AF7" s="62"/>
    </row>
    <row r="8" spans="1:32" s="41" customFormat="1" ht="16.5" x14ac:dyDescent="0.25">
      <c r="A8" s="93"/>
      <c r="B8" s="34" t="str">
        <f>"CMDF Rev-IN"&amp;TEXT(MONTH(GF_RS2356[[#This Row],[RS Date (Date Received)]]),"00")&amp;"2024-"&amp;TEXT(ROW(A3),"0000")</f>
        <v>CMDF Rev-IN082024-0003</v>
      </c>
      <c r="C8" s="66">
        <v>45519</v>
      </c>
      <c r="D8" s="20"/>
      <c r="E8" s="34"/>
      <c r="F8" s="21"/>
      <c r="G8" s="22"/>
      <c r="H8" s="71"/>
      <c r="I8" s="22" t="s">
        <v>67</v>
      </c>
      <c r="J8" s="31"/>
      <c r="K8" s="21"/>
      <c r="L8" s="31"/>
      <c r="M8" s="33"/>
      <c r="N8" s="31"/>
      <c r="O8" s="22"/>
      <c r="P8" s="31"/>
      <c r="Q8" s="21"/>
      <c r="R8" s="31"/>
      <c r="S8" s="31"/>
      <c r="T8" s="21" t="s">
        <v>25</v>
      </c>
      <c r="U8" s="33">
        <f>_xlfn.DAYS(GF_RS2356[[#This Row],[Date
Released]],GF_RS2356[[#This Row],[RS Date (Date Received)]])</f>
        <v>-45519</v>
      </c>
      <c r="V8" s="31"/>
      <c r="W8" s="21"/>
      <c r="X8" s="31"/>
      <c r="Y8" s="21"/>
      <c r="Z8" s="31"/>
      <c r="AA8" s="21"/>
      <c r="AB8" s="22"/>
      <c r="AC8" s="31"/>
      <c r="AD8" s="23"/>
      <c r="AE8" s="21"/>
      <c r="AF8" s="62"/>
    </row>
    <row r="9" spans="1:32" s="41" customFormat="1" ht="16.5" x14ac:dyDescent="0.25">
      <c r="A9" s="93"/>
      <c r="B9" s="34" t="str">
        <f>"CMDF Rev-IN"&amp;TEXT(MONTH(GF_RS2356[[#This Row],[RS Date (Date Received)]]),"00")&amp;"2024-"&amp;TEXT(ROW(A4),"0000")</f>
        <v>CMDF Rev-IN082024-0004</v>
      </c>
      <c r="C9" s="66">
        <v>45519</v>
      </c>
      <c r="D9" s="20"/>
      <c r="E9" s="34"/>
      <c r="F9" s="21"/>
      <c r="G9" s="22"/>
      <c r="H9" s="71"/>
      <c r="I9" s="22" t="s">
        <v>67</v>
      </c>
      <c r="J9" s="31"/>
      <c r="K9" s="21"/>
      <c r="L9" s="31"/>
      <c r="M9" s="33"/>
      <c r="N9" s="31"/>
      <c r="O9" s="22"/>
      <c r="P9" s="31"/>
      <c r="Q9" s="21"/>
      <c r="R9" s="31"/>
      <c r="S9" s="31"/>
      <c r="T9" s="21" t="s">
        <v>25</v>
      </c>
      <c r="U9" s="33">
        <f>_xlfn.DAYS(GF_RS2356[[#This Row],[Date
Released]],GF_RS2356[[#This Row],[RS Date (Date Received)]])</f>
        <v>-45519</v>
      </c>
      <c r="V9" s="31"/>
      <c r="W9" s="21"/>
      <c r="X9" s="31"/>
      <c r="Y9" s="21"/>
      <c r="Z9" s="31"/>
      <c r="AA9" s="21"/>
      <c r="AB9" s="22"/>
      <c r="AC9" s="31"/>
      <c r="AD9" s="23"/>
      <c r="AE9" s="21"/>
      <c r="AF9" s="62"/>
    </row>
    <row r="10" spans="1:32" ht="16.5" x14ac:dyDescent="0.25">
      <c r="B10" s="34" t="str">
        <f>"CMDF Rev-IN"&amp;TEXT(MONTH(GF_RS2356[[#This Row],[RS Date (Date Received)]]),"00")&amp;"2024-"&amp;TEXT(ROW(A5),"0000")</f>
        <v>CMDF Rev-IN082024-0005</v>
      </c>
      <c r="C10" s="66">
        <v>45519</v>
      </c>
      <c r="D10" s="20"/>
      <c r="E10" s="34"/>
      <c r="F10" s="21"/>
      <c r="G10" s="22"/>
      <c r="H10" s="71"/>
      <c r="I10" s="22" t="s">
        <v>67</v>
      </c>
      <c r="J10" s="31"/>
      <c r="K10" s="21"/>
      <c r="L10" s="31"/>
      <c r="M10" s="33"/>
      <c r="N10" s="31"/>
      <c r="O10" s="22"/>
      <c r="P10" s="31"/>
      <c r="Q10" s="21"/>
      <c r="R10" s="31"/>
      <c r="S10" s="31"/>
      <c r="T10" s="21" t="s">
        <v>25</v>
      </c>
      <c r="U10" s="33">
        <f>_xlfn.DAYS(GF_RS2356[[#This Row],[Date
Released]],GF_RS2356[[#This Row],[RS Date (Date Received)]])</f>
        <v>-45519</v>
      </c>
      <c r="V10" s="31"/>
      <c r="W10" s="21"/>
      <c r="X10" s="31"/>
      <c r="Y10" s="21"/>
      <c r="Z10" s="31"/>
      <c r="AA10" s="21"/>
      <c r="AB10" s="22"/>
      <c r="AC10" s="31"/>
      <c r="AD10" s="23"/>
      <c r="AE10" s="21"/>
    </row>
  </sheetData>
  <mergeCells count="6">
    <mergeCell ref="B2:AE2"/>
    <mergeCell ref="B3:U3"/>
    <mergeCell ref="V3:W3"/>
    <mergeCell ref="X3:Y3"/>
    <mergeCell ref="Z3:AB3"/>
    <mergeCell ref="AC3:AE3"/>
  </mergeCells>
  <conditionalFormatting sqref="U1:U3 U6:U1048576">
    <cfRule type="cellIs" dxfId="35" priority="1" operator="greaterThan">
      <formula>3</formula>
    </cfRule>
  </conditionalFormatting>
  <dataValidations count="3">
    <dataValidation type="list" allowBlank="1" showInputMessage="1" showErrorMessage="1" sqref="T6:T10" xr:uid="{077522F2-DF35-427A-88C5-3E5945B5A443}">
      <formula1>Division</formula1>
    </dataValidation>
    <dataValidation type="list" allowBlank="1" showInputMessage="1" showErrorMessage="1" sqref="D1:D2 D4:D1048576" xr:uid="{0AFA3D6E-A359-4A52-ACE3-1B13462E4DBD}">
      <formula1>Accounting</formula1>
    </dataValidation>
    <dataValidation type="list" allowBlank="1" showInputMessage="1" showErrorMessage="1" sqref="W6:W10" xr:uid="{C42A47F0-CF02-40F5-9B82-E2D2C2624A2A}">
      <formula1>INDIRECT(T6)</formula1>
    </dataValidation>
  </dataValidations>
  <pageMargins left="0.7" right="0.7" top="0.75" bottom="0.75" header="0.3" footer="0.3"/>
  <pageSetup paperSize="9" scale="31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0</xdr:col>
                <xdr:colOff>28575</xdr:colOff>
                <xdr:row>3</xdr:row>
                <xdr:rowOff>38100</xdr:rowOff>
              </from>
              <to>
                <xdr:col>0</xdr:col>
                <xdr:colOff>781050</xdr:colOff>
                <xdr:row>3</xdr:row>
                <xdr:rowOff>504825</xdr:rowOff>
              </to>
            </anchor>
          </controlPr>
        </control>
      </mc:Choice>
      <mc:Fallback>
        <control shapeId="716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92C4A6A-8E48-4102-BE64-BF827C6C5FEE}">
          <x14:formula1>
            <xm:f>'List Options'!$I$2:$I$5</xm:f>
          </x14:formula1>
          <xm:sqref>I6:I10</xm:sqref>
        </x14:dataValidation>
        <x14:dataValidation type="list" allowBlank="1" showInputMessage="1" showErrorMessage="1" xr:uid="{AF67B4CF-48F7-4D24-9630-9C2D1F93055A}">
          <x14:formula1>
            <xm:f>'List Options'!$J$2:$J$6</xm:f>
          </x14:formula1>
          <xm:sqref>O6:O10</xm:sqref>
        </x14:dataValidation>
        <x14:dataValidation type="list" allowBlank="1" showInputMessage="1" showErrorMessage="1" xr:uid="{178804FA-C4B6-4B96-8404-97D1F74E9C31}">
          <x14:formula1>
            <xm:f>'List Options'!$K$2:$K$6</xm:f>
          </x14:formula1>
          <xm:sqref>AB6:AB10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56F0-BBD0-4880-AD75-13CABE287A9B}">
  <sheetPr codeName="Sheet1"/>
  <dimension ref="A2:O32"/>
  <sheetViews>
    <sheetView showGridLines="0" view="pageBreakPreview" zoomScaleNormal="100" zoomScaleSheetLayoutView="100" zoomScalePageLayoutView="145" workbookViewId="0">
      <selection activeCell="D39" sqref="D39"/>
    </sheetView>
  </sheetViews>
  <sheetFormatPr defaultRowHeight="15" x14ac:dyDescent="0.25"/>
  <cols>
    <col min="1" max="3" width="20.140625" customWidth="1"/>
    <col min="4" max="4" width="39.42578125" customWidth="1"/>
    <col min="5" max="6" width="20.140625" customWidth="1"/>
    <col min="8" max="8" width="23.85546875" bestFit="1" customWidth="1"/>
    <col min="9" max="9" width="23.140625" customWidth="1"/>
    <col min="10" max="10" width="9.140625" customWidth="1"/>
    <col min="11" max="11" width="15.42578125" customWidth="1"/>
    <col min="12" max="12" width="9.140625" customWidth="1"/>
    <col min="13" max="13" width="17.85546875" customWidth="1"/>
    <col min="14" max="17" width="9.140625" customWidth="1"/>
  </cols>
  <sheetData>
    <row r="2" spans="1:15" x14ac:dyDescent="0.25">
      <c r="N2" s="1"/>
      <c r="O2" s="1"/>
    </row>
    <row r="3" spans="1:15" x14ac:dyDescent="0.25">
      <c r="A3" s="100"/>
      <c r="B3" s="101"/>
      <c r="C3" s="101"/>
      <c r="D3" s="101"/>
      <c r="E3" s="101"/>
      <c r="F3" s="102"/>
      <c r="N3" s="1"/>
      <c r="O3" s="1"/>
    </row>
    <row r="4" spans="1:15" ht="16.5" customHeight="1" x14ac:dyDescent="0.25">
      <c r="A4" s="132" t="s">
        <v>0</v>
      </c>
      <c r="B4" s="133"/>
      <c r="C4" s="133"/>
      <c r="D4" s="133"/>
      <c r="E4" s="133"/>
      <c r="F4" s="134"/>
      <c r="N4" s="1"/>
      <c r="O4" s="1"/>
    </row>
    <row r="5" spans="1:15" ht="16.5" customHeight="1" x14ac:dyDescent="0.25">
      <c r="A5" s="135" t="s">
        <v>126</v>
      </c>
      <c r="B5" s="136"/>
      <c r="C5" s="136"/>
      <c r="D5" s="136"/>
      <c r="E5" s="136"/>
      <c r="F5" s="137"/>
      <c r="N5" s="1"/>
      <c r="O5" s="1"/>
    </row>
    <row r="6" spans="1:15" ht="16.5" customHeight="1" x14ac:dyDescent="0.25">
      <c r="A6" s="135" t="s">
        <v>113</v>
      </c>
      <c r="B6" s="136"/>
      <c r="C6" s="136"/>
      <c r="D6" s="136"/>
      <c r="E6" s="136"/>
      <c r="F6" s="137"/>
      <c r="N6" s="1"/>
      <c r="O6" s="1"/>
    </row>
    <row r="7" spans="1:15" ht="16.5" customHeight="1" x14ac:dyDescent="0.25">
      <c r="A7" s="138"/>
      <c r="B7" s="139"/>
      <c r="C7" s="139"/>
      <c r="D7" s="139"/>
      <c r="E7" s="139"/>
      <c r="F7" s="140"/>
      <c r="N7" s="1"/>
      <c r="O7" s="1"/>
    </row>
    <row r="8" spans="1:15" ht="22.5" customHeight="1" x14ac:dyDescent="0.25">
      <c r="A8" s="98" t="s">
        <v>119</v>
      </c>
      <c r="B8" s="103">
        <v>3</v>
      </c>
      <c r="C8" s="104"/>
      <c r="D8" s="105"/>
      <c r="E8" s="99" t="s">
        <v>122</v>
      </c>
      <c r="F8" s="108" t="s">
        <v>118</v>
      </c>
    </row>
    <row r="9" spans="1:15" ht="22.5" customHeight="1" x14ac:dyDescent="0.25">
      <c r="A9" s="146" t="s">
        <v>120</v>
      </c>
      <c r="B9" s="148" t="s">
        <v>115</v>
      </c>
      <c r="C9" s="149"/>
      <c r="D9" s="150"/>
      <c r="E9" s="96" t="s">
        <v>123</v>
      </c>
      <c r="F9" s="109">
        <v>45518</v>
      </c>
    </row>
    <row r="10" spans="1:15" s="1" customFormat="1" ht="22.5" customHeight="1" x14ac:dyDescent="0.25">
      <c r="A10" s="147"/>
      <c r="B10" s="151"/>
      <c r="C10" s="152"/>
      <c r="D10" s="153"/>
      <c r="E10" s="95" t="s">
        <v>124</v>
      </c>
      <c r="F10" s="110" t="s">
        <v>114</v>
      </c>
      <c r="H10"/>
      <c r="I10"/>
      <c r="J10"/>
      <c r="K10"/>
      <c r="L10"/>
      <c r="M10"/>
      <c r="N10"/>
      <c r="O10"/>
    </row>
    <row r="11" spans="1:15" s="1" customFormat="1" ht="22.5" customHeight="1" x14ac:dyDescent="0.25">
      <c r="A11" s="94" t="s">
        <v>121</v>
      </c>
      <c r="B11" s="106">
        <v>1</v>
      </c>
      <c r="C11" s="107"/>
      <c r="D11" s="107"/>
      <c r="E11" s="97" t="s">
        <v>125</v>
      </c>
      <c r="F11" s="110" t="s">
        <v>128</v>
      </c>
      <c r="H11"/>
      <c r="I11"/>
      <c r="J11"/>
      <c r="K11"/>
      <c r="L11"/>
      <c r="M11"/>
      <c r="N11"/>
      <c r="O11"/>
    </row>
    <row r="12" spans="1:15" s="1" customFormat="1" x14ac:dyDescent="0.25">
      <c r="A12" s="85" t="s">
        <v>3</v>
      </c>
      <c r="B12" s="75" t="s">
        <v>114</v>
      </c>
      <c r="C12" s="76" t="s">
        <v>4</v>
      </c>
      <c r="D12" s="75" t="s">
        <v>2</v>
      </c>
      <c r="E12" s="77" t="s">
        <v>127</v>
      </c>
      <c r="F12" s="112">
        <v>45518</v>
      </c>
      <c r="H12"/>
      <c r="I12"/>
      <c r="J12"/>
      <c r="K12"/>
      <c r="L12"/>
      <c r="M12"/>
      <c r="N12"/>
      <c r="O12"/>
    </row>
    <row r="13" spans="1:15" s="1" customFormat="1" ht="22.5" customHeight="1" x14ac:dyDescent="0.25">
      <c r="A13" s="86"/>
      <c r="B13" s="78"/>
      <c r="C13" s="78"/>
      <c r="D13" s="78"/>
      <c r="E13" s="78"/>
      <c r="F13" s="82" t="s">
        <v>114</v>
      </c>
      <c r="H13"/>
      <c r="I13"/>
      <c r="J13"/>
      <c r="K13"/>
      <c r="L13"/>
      <c r="M13"/>
      <c r="N13"/>
      <c r="O13"/>
    </row>
    <row r="14" spans="1:15" s="1" customFormat="1" ht="22.5" customHeight="1" x14ac:dyDescent="0.25">
      <c r="A14" s="87"/>
      <c r="B14" s="79">
        <v>1</v>
      </c>
      <c r="C14" s="79"/>
      <c r="D14" s="79"/>
      <c r="E14" s="79"/>
      <c r="F14" s="83"/>
      <c r="H14"/>
      <c r="I14"/>
      <c r="J14"/>
      <c r="K14"/>
      <c r="L14"/>
      <c r="M14"/>
      <c r="N14"/>
      <c r="O14"/>
    </row>
    <row r="15" spans="1:15" s="1" customFormat="1" ht="22.5" customHeight="1" x14ac:dyDescent="0.25">
      <c r="A15" s="87"/>
      <c r="B15" s="79"/>
      <c r="C15" s="79"/>
      <c r="D15" s="79"/>
      <c r="E15" s="79"/>
      <c r="F15" s="83"/>
      <c r="H15"/>
      <c r="I15"/>
      <c r="J15"/>
      <c r="K15"/>
      <c r="L15"/>
      <c r="M15"/>
      <c r="N15"/>
      <c r="O15"/>
    </row>
    <row r="16" spans="1:15" s="1" customFormat="1" ht="22.5" customHeight="1" x14ac:dyDescent="0.25">
      <c r="A16" s="87"/>
      <c r="B16" s="79"/>
      <c r="C16" s="79"/>
      <c r="D16" s="79"/>
      <c r="E16" s="79"/>
      <c r="F16" s="83"/>
      <c r="H16"/>
      <c r="I16"/>
      <c r="J16"/>
      <c r="K16"/>
      <c r="L16"/>
      <c r="M16"/>
      <c r="N16"/>
      <c r="O16"/>
    </row>
    <row r="17" spans="1:15" s="1" customFormat="1" ht="22.5" customHeight="1" x14ac:dyDescent="0.25">
      <c r="A17" s="87"/>
      <c r="B17" s="79"/>
      <c r="C17" s="79"/>
      <c r="D17" s="79"/>
      <c r="E17" s="79"/>
      <c r="F17" s="83"/>
      <c r="H17"/>
      <c r="I17"/>
      <c r="J17"/>
      <c r="K17"/>
      <c r="L17"/>
      <c r="M17"/>
      <c r="N17"/>
      <c r="O17"/>
    </row>
    <row r="18" spans="1:15" s="1" customFormat="1" ht="22.5" customHeight="1" x14ac:dyDescent="0.25">
      <c r="A18" s="87"/>
      <c r="B18" s="79"/>
      <c r="C18" s="79"/>
      <c r="D18" s="79"/>
      <c r="E18" s="79"/>
      <c r="F18" s="83"/>
      <c r="H18"/>
      <c r="I18"/>
      <c r="J18"/>
      <c r="K18"/>
      <c r="L18"/>
      <c r="M18"/>
      <c r="N18"/>
      <c r="O18"/>
    </row>
    <row r="19" spans="1:15" s="1" customFormat="1" ht="22.5" customHeight="1" x14ac:dyDescent="0.25">
      <c r="A19" s="87"/>
      <c r="B19" s="79"/>
      <c r="C19" s="79"/>
      <c r="D19" s="79"/>
      <c r="E19" s="79"/>
      <c r="F19" s="83"/>
      <c r="H19"/>
      <c r="I19"/>
      <c r="J19"/>
      <c r="K19"/>
      <c r="L19"/>
      <c r="M19"/>
      <c r="N19"/>
      <c r="O19"/>
    </row>
    <row r="20" spans="1:15" s="1" customFormat="1" ht="22.5" customHeight="1" x14ac:dyDescent="0.25">
      <c r="A20" s="87"/>
      <c r="B20" s="79"/>
      <c r="C20" s="79"/>
      <c r="D20" s="79"/>
      <c r="E20" s="79"/>
      <c r="F20" s="83"/>
      <c r="H20"/>
      <c r="I20"/>
      <c r="J20"/>
      <c r="K20"/>
      <c r="L20"/>
      <c r="M20"/>
      <c r="N20"/>
      <c r="O20"/>
    </row>
    <row r="21" spans="1:15" ht="22.5" customHeight="1" x14ac:dyDescent="0.25">
      <c r="A21" s="87"/>
      <c r="B21" s="79"/>
      <c r="C21" s="79"/>
      <c r="D21" s="79"/>
      <c r="E21" s="79"/>
      <c r="F21" s="83"/>
    </row>
    <row r="22" spans="1:15" ht="22.5" customHeight="1" x14ac:dyDescent="0.25">
      <c r="A22" s="87"/>
      <c r="B22" s="79"/>
      <c r="C22" s="79"/>
      <c r="D22" s="79"/>
      <c r="E22" s="79"/>
      <c r="F22" s="83"/>
    </row>
    <row r="23" spans="1:15" ht="22.5" customHeight="1" x14ac:dyDescent="0.25">
      <c r="A23" s="87"/>
      <c r="B23" s="79"/>
      <c r="C23" s="79"/>
      <c r="D23" s="79"/>
      <c r="E23" s="79"/>
      <c r="F23" s="83"/>
    </row>
    <row r="24" spans="1:15" ht="22.5" customHeight="1" x14ac:dyDescent="0.25">
      <c r="A24" s="87"/>
      <c r="B24" s="79"/>
      <c r="C24" s="79"/>
      <c r="D24" s="79"/>
      <c r="E24" s="79"/>
      <c r="F24" s="83"/>
    </row>
    <row r="25" spans="1:15" ht="22.5" customHeight="1" x14ac:dyDescent="0.25">
      <c r="A25" s="88"/>
      <c r="B25" s="80"/>
      <c r="C25" s="80"/>
      <c r="D25" s="80"/>
      <c r="E25" s="80"/>
      <c r="F25" s="84"/>
    </row>
    <row r="26" spans="1:15" ht="22.5" customHeight="1" x14ac:dyDescent="0.25">
      <c r="A26" s="111" t="s">
        <v>12</v>
      </c>
      <c r="B26" s="141"/>
      <c r="C26" s="141"/>
      <c r="D26" s="141"/>
      <c r="E26" s="141"/>
      <c r="F26" s="142"/>
    </row>
    <row r="27" spans="1:15" ht="22.5" customHeight="1" x14ac:dyDescent="0.25">
      <c r="A27" s="143"/>
      <c r="B27" s="144"/>
      <c r="C27" s="144"/>
      <c r="D27" s="144"/>
      <c r="E27" s="144"/>
      <c r="F27" s="145"/>
    </row>
    <row r="28" spans="1:15" ht="22.5" customHeight="1" x14ac:dyDescent="0.25">
      <c r="A28" s="81"/>
      <c r="B28" s="81"/>
      <c r="C28" s="81"/>
      <c r="D28" s="81"/>
      <c r="E28" s="81"/>
      <c r="F28" s="81"/>
    </row>
    <row r="29" spans="1:15" ht="22.5" customHeight="1" x14ac:dyDescent="0.25"/>
    <row r="30" spans="1:15" ht="22.5" customHeight="1" x14ac:dyDescent="0.25"/>
    <row r="31" spans="1:15" ht="22.5" customHeight="1" x14ac:dyDescent="0.25"/>
    <row r="32" spans="1:15" ht="22.5" customHeight="1" x14ac:dyDescent="0.25"/>
  </sheetData>
  <mergeCells count="8">
    <mergeCell ref="A4:F4"/>
    <mergeCell ref="A5:F5"/>
    <mergeCell ref="A7:F7"/>
    <mergeCell ref="B26:F26"/>
    <mergeCell ref="A27:F27"/>
    <mergeCell ref="A9:A10"/>
    <mergeCell ref="A6:F6"/>
    <mergeCell ref="B9:D10"/>
  </mergeCells>
  <printOptions horizontalCentered="1"/>
  <pageMargins left="0.23622047244094491" right="0.23622047244094491" top="0.6692913385826772" bottom="0.15748031496062992" header="0.31496062992125984" footer="0.31496062992125984"/>
  <pageSetup paperSize="9" scale="71" orientation="portrait" horizontalDpi="0" verticalDpi="0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740D-0CA5-4693-9CCF-848BA1A5D21A}">
  <sheetPr codeName="Sheet5"/>
  <dimension ref="A1:L26"/>
  <sheetViews>
    <sheetView workbookViewId="0">
      <selection activeCell="G41" sqref="G40:G41"/>
    </sheetView>
  </sheetViews>
  <sheetFormatPr defaultRowHeight="15" x14ac:dyDescent="0.25"/>
  <cols>
    <col min="1" max="12" width="20.85546875" customWidth="1"/>
    <col min="13" max="13" width="13.28515625" bestFit="1" customWidth="1"/>
  </cols>
  <sheetData>
    <row r="1" spans="1:12" x14ac:dyDescent="0.25">
      <c r="A1" s="2" t="s">
        <v>36</v>
      </c>
      <c r="B1" s="2" t="s">
        <v>15</v>
      </c>
      <c r="C1" s="2"/>
      <c r="D1" s="2"/>
      <c r="E1" s="2" t="s">
        <v>18</v>
      </c>
      <c r="F1" s="2" t="s">
        <v>52</v>
      </c>
      <c r="H1" t="s">
        <v>61</v>
      </c>
      <c r="I1" t="s">
        <v>76</v>
      </c>
      <c r="J1" t="s">
        <v>77</v>
      </c>
      <c r="K1" t="s">
        <v>81</v>
      </c>
      <c r="L1" t="s">
        <v>116</v>
      </c>
    </row>
    <row r="2" spans="1:12" x14ac:dyDescent="0.25">
      <c r="A2" s="7" t="s">
        <v>17</v>
      </c>
      <c r="B2" s="3" t="s">
        <v>47</v>
      </c>
      <c r="C2" s="3"/>
      <c r="D2" s="3"/>
      <c r="E2" s="4" t="s">
        <v>13</v>
      </c>
      <c r="F2" s="4" t="s">
        <v>19</v>
      </c>
      <c r="G2" s="1"/>
      <c r="H2" t="s">
        <v>87</v>
      </c>
      <c r="I2" t="s">
        <v>67</v>
      </c>
      <c r="L2" t="s">
        <v>117</v>
      </c>
    </row>
    <row r="3" spans="1:12" x14ac:dyDescent="0.25">
      <c r="A3" s="3" t="s">
        <v>26</v>
      </c>
      <c r="B3" s="3" t="s">
        <v>48</v>
      </c>
      <c r="C3" s="3"/>
      <c r="D3" s="3"/>
      <c r="E3" s="4" t="s">
        <v>5</v>
      </c>
      <c r="F3" s="4" t="s">
        <v>55</v>
      </c>
      <c r="G3" s="1"/>
      <c r="H3" t="s">
        <v>88</v>
      </c>
      <c r="I3" t="s">
        <v>68</v>
      </c>
      <c r="J3" t="s">
        <v>68</v>
      </c>
      <c r="K3" t="s">
        <v>84</v>
      </c>
    </row>
    <row r="4" spans="1:12" x14ac:dyDescent="0.25">
      <c r="A4" s="7" t="s">
        <v>16</v>
      </c>
      <c r="B4" s="3" t="s">
        <v>49</v>
      </c>
      <c r="C4" s="3"/>
      <c r="D4" s="3"/>
      <c r="E4" s="4" t="s">
        <v>11</v>
      </c>
      <c r="F4" s="4" t="s">
        <v>56</v>
      </c>
      <c r="G4" s="1"/>
      <c r="H4" t="s">
        <v>89</v>
      </c>
      <c r="I4" t="s">
        <v>69</v>
      </c>
      <c r="J4" t="s">
        <v>78</v>
      </c>
      <c r="K4" t="s">
        <v>85</v>
      </c>
    </row>
    <row r="5" spans="1:12" x14ac:dyDescent="0.25">
      <c r="A5" s="7" t="s">
        <v>20</v>
      </c>
      <c r="B5" s="3" t="s">
        <v>50</v>
      </c>
      <c r="C5" s="3"/>
      <c r="D5" s="3"/>
      <c r="E5" s="4" t="s">
        <v>6</v>
      </c>
      <c r="F5" s="4" t="s">
        <v>57</v>
      </c>
      <c r="G5" s="1"/>
      <c r="H5" t="s">
        <v>90</v>
      </c>
      <c r="J5" t="s">
        <v>104</v>
      </c>
      <c r="K5" t="s">
        <v>82</v>
      </c>
    </row>
    <row r="6" spans="1:12" x14ac:dyDescent="0.25">
      <c r="A6" s="7" t="s">
        <v>25</v>
      </c>
      <c r="B6" s="3" t="s">
        <v>51</v>
      </c>
      <c r="C6" s="3"/>
      <c r="D6" s="3"/>
      <c r="E6" s="4" t="s">
        <v>7</v>
      </c>
      <c r="F6" s="4"/>
      <c r="G6" s="1"/>
      <c r="H6" t="s">
        <v>91</v>
      </c>
      <c r="J6" t="s">
        <v>105</v>
      </c>
      <c r="K6" t="s">
        <v>83</v>
      </c>
    </row>
    <row r="7" spans="1:12" x14ac:dyDescent="0.25">
      <c r="A7" s="7" t="s">
        <v>46</v>
      </c>
      <c r="B7" s="3"/>
      <c r="C7" s="3"/>
      <c r="D7" s="3"/>
      <c r="E7" s="4" t="s">
        <v>1</v>
      </c>
      <c r="F7" s="4"/>
      <c r="G7" s="1"/>
    </row>
    <row r="8" spans="1:12" x14ac:dyDescent="0.25">
      <c r="A8" s="7" t="s">
        <v>21</v>
      </c>
      <c r="B8" s="3"/>
      <c r="C8" s="3"/>
      <c r="D8" s="3"/>
      <c r="E8" s="4" t="s">
        <v>8</v>
      </c>
      <c r="F8" s="4"/>
      <c r="G8" s="1"/>
    </row>
    <row r="9" spans="1:12" x14ac:dyDescent="0.25">
      <c r="A9" s="7" t="s">
        <v>24</v>
      </c>
      <c r="B9" s="3"/>
      <c r="C9" s="3"/>
      <c r="D9" s="3"/>
      <c r="E9" s="4" t="s">
        <v>9</v>
      </c>
      <c r="F9" s="4"/>
      <c r="G9" s="1"/>
    </row>
    <row r="10" spans="1:12" x14ac:dyDescent="0.25">
      <c r="A10" s="7" t="s">
        <v>23</v>
      </c>
      <c r="B10" s="3"/>
      <c r="C10" s="3"/>
      <c r="D10" s="3"/>
      <c r="E10" s="4" t="s">
        <v>10</v>
      </c>
      <c r="F10" s="4"/>
      <c r="G10" s="1"/>
    </row>
    <row r="11" spans="1:12" x14ac:dyDescent="0.25">
      <c r="A11" s="7" t="s">
        <v>22</v>
      </c>
      <c r="B11" s="3"/>
      <c r="C11" s="3"/>
      <c r="D11" s="3"/>
      <c r="F11" s="4"/>
      <c r="G11" s="1"/>
    </row>
    <row r="12" spans="1:12" x14ac:dyDescent="0.25">
      <c r="A12" s="3"/>
      <c r="B12" s="3"/>
      <c r="C12" s="3"/>
      <c r="D12" s="3"/>
      <c r="E12" s="4"/>
      <c r="F12" s="4"/>
      <c r="G12" s="1"/>
    </row>
    <row r="13" spans="1:12" x14ac:dyDescent="0.25">
      <c r="A13" s="3"/>
      <c r="B13" s="3"/>
      <c r="C13" s="3"/>
      <c r="D13" s="3"/>
      <c r="E13" s="4"/>
      <c r="F13" s="4"/>
      <c r="G13" s="1"/>
    </row>
    <row r="14" spans="1:12" x14ac:dyDescent="0.25">
      <c r="B14" s="5"/>
      <c r="C14" s="5"/>
      <c r="D14" s="5"/>
      <c r="E14" s="4"/>
      <c r="F14" s="4"/>
      <c r="G14" s="1"/>
    </row>
    <row r="15" spans="1:12" x14ac:dyDescent="0.25">
      <c r="B15" s="5"/>
      <c r="C15" s="5"/>
      <c r="D15" s="5"/>
      <c r="E15" s="4"/>
      <c r="F15" s="4"/>
      <c r="G15" s="1"/>
    </row>
    <row r="16" spans="1:12" x14ac:dyDescent="0.25">
      <c r="B16" s="5"/>
      <c r="C16" s="5"/>
      <c r="D16" s="5"/>
      <c r="E16" s="3"/>
      <c r="F16" s="4"/>
    </row>
    <row r="17" spans="1:10" x14ac:dyDescent="0.25">
      <c r="B17" s="5"/>
      <c r="C17" s="5"/>
      <c r="D17" s="5"/>
      <c r="F17" s="3"/>
    </row>
    <row r="18" spans="1:10" x14ac:dyDescent="0.25">
      <c r="B18" s="5"/>
      <c r="C18" s="5"/>
      <c r="D18" s="5"/>
    </row>
    <row r="19" spans="1:10" x14ac:dyDescent="0.25">
      <c r="B19" s="3"/>
      <c r="C19" s="3"/>
      <c r="D19" s="3"/>
    </row>
    <row r="21" spans="1:10" x14ac:dyDescent="0.25">
      <c r="A21" s="6" t="s">
        <v>16</v>
      </c>
      <c r="B21" s="3" t="s">
        <v>44</v>
      </c>
      <c r="C21" s="6" t="s">
        <v>17</v>
      </c>
      <c r="D21" s="3" t="s">
        <v>26</v>
      </c>
      <c r="E21" t="s">
        <v>20</v>
      </c>
      <c r="F21" t="s">
        <v>21</v>
      </c>
      <c r="G21" t="s">
        <v>22</v>
      </c>
      <c r="H21" t="s">
        <v>23</v>
      </c>
      <c r="I21" t="s">
        <v>24</v>
      </c>
      <c r="J21" t="s">
        <v>25</v>
      </c>
    </row>
    <row r="22" spans="1:10" x14ac:dyDescent="0.25">
      <c r="A22" s="3" t="s">
        <v>29</v>
      </c>
      <c r="B22" s="3" t="s">
        <v>30</v>
      </c>
      <c r="C22" s="5" t="s">
        <v>106</v>
      </c>
      <c r="D22" s="3" t="s">
        <v>27</v>
      </c>
      <c r="E22" s="3" t="s">
        <v>33</v>
      </c>
      <c r="F22" s="3" t="s">
        <v>31</v>
      </c>
      <c r="G22" s="3" t="s">
        <v>34</v>
      </c>
      <c r="H22" s="3" t="s">
        <v>111</v>
      </c>
      <c r="I22" s="3" t="s">
        <v>35</v>
      </c>
      <c r="J22" s="3" t="s">
        <v>32</v>
      </c>
    </row>
    <row r="23" spans="1:10" x14ac:dyDescent="0.25">
      <c r="A23" s="3" t="s">
        <v>28</v>
      </c>
      <c r="B23" s="3" t="s">
        <v>43</v>
      </c>
      <c r="C23" s="5" t="s">
        <v>108</v>
      </c>
      <c r="D23" t="s">
        <v>45</v>
      </c>
      <c r="E23" t="s">
        <v>131</v>
      </c>
      <c r="J23" t="s">
        <v>132</v>
      </c>
    </row>
    <row r="24" spans="1:10" x14ac:dyDescent="0.25">
      <c r="B24" s="3" t="s">
        <v>41</v>
      </c>
      <c r="C24" s="5" t="s">
        <v>109</v>
      </c>
    </row>
    <row r="25" spans="1:10" x14ac:dyDescent="0.25">
      <c r="B25" s="3" t="s">
        <v>42</v>
      </c>
      <c r="C25" s="5" t="s">
        <v>107</v>
      </c>
    </row>
    <row r="26" spans="1:10" x14ac:dyDescent="0.25">
      <c r="C26" s="5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GF_RS</vt:lpstr>
      <vt:lpstr>CIAC_RS</vt:lpstr>
      <vt:lpstr>PCAB_RS</vt:lpstr>
      <vt:lpstr>CMDF Tr_RS</vt:lpstr>
      <vt:lpstr>CMDF Rev_RS</vt:lpstr>
      <vt:lpstr>Routing Slip</vt:lpstr>
      <vt:lpstr>List Options</vt:lpstr>
      <vt:lpstr>Accounting</vt:lpstr>
      <vt:lpstr>Actions</vt:lpstr>
      <vt:lpstr>Budget</vt:lpstr>
      <vt:lpstr>Cashier</vt:lpstr>
      <vt:lpstr>CIAC</vt:lpstr>
      <vt:lpstr>CMDF</vt:lpstr>
      <vt:lpstr>Division</vt:lpstr>
      <vt:lpstr>DocType</vt:lpstr>
      <vt:lpstr>FundSource</vt:lpstr>
      <vt:lpstr>GSD</vt:lpstr>
      <vt:lpstr>PaymentStatus</vt:lpstr>
      <vt:lpstr>PCAB</vt:lpstr>
      <vt:lpstr>PDCB</vt:lpstr>
      <vt:lpstr>POCB</vt:lpstr>
      <vt:lpstr>PPCMD</vt:lpstr>
      <vt:lpstr>Print</vt:lpstr>
      <vt:lpstr>CIAC_RS!Print_Area</vt:lpstr>
      <vt:lpstr>'CMDF Rev_RS'!Print_Area</vt:lpstr>
      <vt:lpstr>'CMDF Tr_RS'!Print_Area</vt:lpstr>
      <vt:lpstr>GF_RS!Print_Area</vt:lpstr>
      <vt:lpstr>PCAB_RS!Print_Area</vt:lpstr>
      <vt:lpstr>'Routing Slip'!Print_Area</vt:lpstr>
      <vt:lpstr>Remarks</vt:lpstr>
      <vt:lpstr>Status</vt:lpstr>
      <vt:lpstr>Status_Initial</vt:lpstr>
      <vt:lpstr>StatusFinal</vt:lpstr>
      <vt:lpstr>StatusInitial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AFMD HP 03</dc:creator>
  <cp:lastModifiedBy>Alma Venus L. Estrada</cp:lastModifiedBy>
  <cp:lastPrinted>2024-08-15T03:08:24Z</cp:lastPrinted>
  <dcterms:created xsi:type="dcterms:W3CDTF">2024-01-04T02:48:36Z</dcterms:created>
  <dcterms:modified xsi:type="dcterms:W3CDTF">2024-08-15T05:27:24Z</dcterms:modified>
</cp:coreProperties>
</file>